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0F9F1B39-44CA-40A9-AD5C-7638E886BC69}" xr6:coauthVersionLast="47" xr6:coauthVersionMax="47" xr10:uidLastSave="{00000000-0000-0000-0000-000000000000}"/>
  <bookViews>
    <workbookView xWindow="1155" yWindow="5415" windowWidth="38700" windowHeight="15885" firstSheet="2" activeTab="2" xr2:uid="{6F9B806B-8A3C-6340-A4D1-2BC4BA496140}"/>
  </bookViews>
  <sheets>
    <sheet name="Blazanin et. al 2022 PFU" sheetId="1" r:id="rId1"/>
    <sheet name="Moebus 1992 (RSW)" sheetId="2" r:id="rId2"/>
    <sheet name="Suttle et. al 1992 (B)" sheetId="3" r:id="rId3"/>
    <sheet name="Boixereu et. al 2002 (A)" sheetId="4" r:id="rId4"/>
    <sheet name="Chen et. al 2011" sheetId="5" r:id="rId5"/>
    <sheet name=" Wei et. al 2018 " sheetId="6" r:id="rId6"/>
    <sheet name="Tsai et. al 2022 (3)" sheetId="7" r:id="rId7"/>
    <sheet name="Pleyer et. al 2024 (july)" sheetId="8" r:id="rId8"/>
    <sheet name="Fischer et. al 2004 (d6)" sheetId="9" r:id="rId9"/>
    <sheet name="Panagiotis et. al 2024 (plasma)" sheetId="10" r:id="rId10"/>
    <sheet name="Sheet1" sheetId="19" r:id="rId11"/>
    <sheet name="Shaffer et. al 2024 (MS2 60)" sheetId="11" r:id="rId12"/>
    <sheet name="Petterson et. al 2001 (G1)" sheetId="13" r:id="rId13"/>
    <sheet name="Fischer et.al 2002(panel d)" sheetId="14" r:id="rId14"/>
    <sheet name="DiPietro et. al 2023 (t4)" sheetId="12" r:id="rId15"/>
    <sheet name="Parada et. al 2007 (2750m)" sheetId="15" r:id="rId16"/>
    <sheet name="Mathias et. al 1995 (20 C)" sheetId="16" r:id="rId17"/>
    <sheet name="French et. al 2023 (A)" sheetId="17" r:id="rId18"/>
    <sheet name="Sheet18" sheetId="1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7" l="1"/>
  <c r="F7" i="17" s="1"/>
  <c r="E3" i="17"/>
  <c r="F3" i="17" s="1"/>
  <c r="E4" i="17"/>
  <c r="E5" i="17"/>
  <c r="E6" i="17"/>
  <c r="F6" i="17" s="1"/>
  <c r="D2" i="6"/>
  <c r="D3" i="6"/>
  <c r="D4" i="6"/>
  <c r="D5" i="6"/>
  <c r="D6" i="6"/>
  <c r="E2" i="17"/>
  <c r="F2" i="17" s="1"/>
  <c r="C2" i="17" a="1"/>
  <c r="C2" i="17" s="1"/>
  <c r="E3" i="16"/>
  <c r="E4" i="16"/>
  <c r="E5" i="16"/>
  <c r="E6" i="16"/>
  <c r="E7" i="16"/>
  <c r="E8" i="16"/>
  <c r="E9" i="16"/>
  <c r="E10" i="16"/>
  <c r="E2" i="16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2" i="15"/>
  <c r="G4" i="12"/>
  <c r="G5" i="12"/>
  <c r="G6" i="12"/>
  <c r="G7" i="12"/>
  <c r="G8" i="12"/>
  <c r="G9" i="12"/>
  <c r="G10" i="12"/>
  <c r="G11" i="12"/>
  <c r="G12" i="12"/>
  <c r="G13" i="12"/>
  <c r="G14" i="12"/>
  <c r="G15" i="12"/>
  <c r="G17" i="12"/>
  <c r="G18" i="12"/>
  <c r="G19" i="12"/>
  <c r="G20" i="12"/>
  <c r="G21" i="12"/>
  <c r="G22" i="12"/>
  <c r="G23" i="12"/>
  <c r="G24" i="12"/>
  <c r="G25" i="12"/>
  <c r="G3" i="12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" i="13"/>
  <c r="F25" i="12"/>
  <c r="F24" i="12"/>
  <c r="F23" i="12"/>
  <c r="F22" i="12"/>
  <c r="F21" i="12"/>
  <c r="F20" i="12"/>
  <c r="F19" i="12"/>
  <c r="F18" i="12"/>
  <c r="F17" i="12"/>
  <c r="F4" i="12"/>
  <c r="F5" i="12"/>
  <c r="F6" i="12"/>
  <c r="F7" i="12"/>
  <c r="F8" i="12"/>
  <c r="F9" i="12"/>
  <c r="F10" i="12"/>
  <c r="F11" i="12"/>
  <c r="F12" i="12"/>
  <c r="F13" i="12"/>
  <c r="F14" i="12"/>
  <c r="F15" i="12"/>
  <c r="F3" i="12"/>
  <c r="D13" i="11"/>
  <c r="D2" i="11" a="1"/>
  <c r="D2" i="11" s="1"/>
  <c r="D3" i="8"/>
  <c r="D4" i="8"/>
  <c r="D5" i="8"/>
  <c r="D6" i="8"/>
  <c r="D7" i="8"/>
  <c r="D8" i="8"/>
  <c r="D9" i="8"/>
  <c r="D10" i="8"/>
  <c r="D11" i="8"/>
  <c r="D12" i="8"/>
  <c r="D13" i="8"/>
  <c r="D14" i="8"/>
  <c r="D2" i="8"/>
  <c r="E3" i="7"/>
  <c r="E4" i="7"/>
  <c r="E5" i="7"/>
  <c r="E6" i="7"/>
  <c r="E7" i="7"/>
  <c r="E8" i="7"/>
  <c r="E9" i="7"/>
  <c r="E10" i="7"/>
  <c r="E11" i="7"/>
  <c r="E12" i="7"/>
  <c r="E2" i="7"/>
  <c r="L6" i="6"/>
  <c r="C13" i="6" s="1"/>
  <c r="L5" i="6"/>
  <c r="L4" i="6"/>
  <c r="L3" i="6"/>
  <c r="L2" i="6"/>
  <c r="H6" i="6"/>
  <c r="H5" i="6"/>
  <c r="D12" i="6" s="1"/>
  <c r="H4" i="6"/>
  <c r="H3" i="6"/>
  <c r="H2" i="6"/>
  <c r="D4" i="5"/>
  <c r="D5" i="5"/>
  <c r="D6" i="5"/>
  <c r="D7" i="5"/>
  <c r="D8" i="5"/>
  <c r="D3" i="5"/>
  <c r="E3" i="4"/>
  <c r="E4" i="4"/>
  <c r="E5" i="4"/>
  <c r="E6" i="4"/>
  <c r="E2" i="4"/>
  <c r="E4" i="3"/>
  <c r="E5" i="3"/>
  <c r="E6" i="3"/>
  <c r="E7" i="3"/>
  <c r="E3" i="3"/>
  <c r="F4" i="2"/>
  <c r="F5" i="2"/>
  <c r="G5" i="2" s="1"/>
  <c r="F6" i="2"/>
  <c r="G6" i="2" s="1"/>
  <c r="F7" i="2"/>
  <c r="G7" i="2" s="1"/>
  <c r="D3" i="2"/>
  <c r="F3" i="2"/>
  <c r="G3" i="2" s="1"/>
  <c r="D4" i="2"/>
  <c r="D5" i="2"/>
  <c r="D6" i="2"/>
  <c r="D7" i="2"/>
  <c r="D12" i="1"/>
  <c r="D13" i="1"/>
  <c r="D14" i="1"/>
  <c r="D15" i="1"/>
  <c r="D16" i="1"/>
  <c r="D11" i="1"/>
  <c r="C12" i="1"/>
  <c r="C13" i="1"/>
  <c r="C14" i="1"/>
  <c r="C15" i="1"/>
  <c r="C16" i="1"/>
  <c r="C11" i="1"/>
  <c r="C12" i="6" l="1"/>
  <c r="D13" i="6"/>
  <c r="F5" i="17"/>
  <c r="F4" i="17"/>
  <c r="C9" i="6"/>
  <c r="D10" i="6"/>
  <c r="D11" i="6"/>
  <c r="C11" i="6"/>
  <c r="D9" i="6"/>
  <c r="C10" i="6"/>
  <c r="G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<sst xmlns="http://schemas.openxmlformats.org/spreadsheetml/2006/main" count="107" uniqueCount="60">
  <si>
    <t>Average</t>
  </si>
  <si>
    <t>Time (min)</t>
  </si>
  <si>
    <t xml:space="preserve">% Viral Survival </t>
  </si>
  <si>
    <t>SEM</t>
  </si>
  <si>
    <t>Hours</t>
  </si>
  <si>
    <t>Log(pfu/ml)</t>
  </si>
  <si>
    <t>pfu/ml</t>
  </si>
  <si>
    <t>Log(topBar)</t>
  </si>
  <si>
    <t>topbar</t>
  </si>
  <si>
    <t>Days</t>
  </si>
  <si>
    <t>(pfu/ml)</t>
  </si>
  <si>
    <t>bar</t>
  </si>
  <si>
    <t>VLP/ml</t>
  </si>
  <si>
    <t>time (hours)</t>
  </si>
  <si>
    <t>ln(virus/ml)</t>
  </si>
  <si>
    <t>virus/ml</t>
  </si>
  <si>
    <t xml:space="preserve">Rep 1 </t>
  </si>
  <si>
    <t>Rep 2</t>
  </si>
  <si>
    <t>Rep 3</t>
  </si>
  <si>
    <t>Rep 4</t>
  </si>
  <si>
    <t xml:space="preserve">Rep 5 </t>
  </si>
  <si>
    <t xml:space="preserve">Rep 3 </t>
  </si>
  <si>
    <t>time(hr)</t>
  </si>
  <si>
    <t>Rep 1 (hr)</t>
  </si>
  <si>
    <t>average virus/ml</t>
  </si>
  <si>
    <t>time(h)</t>
  </si>
  <si>
    <t>viruses/ml</t>
  </si>
  <si>
    <t>time(hrs)</t>
  </si>
  <si>
    <t>Viruses/ml</t>
  </si>
  <si>
    <t>time (h)</t>
  </si>
  <si>
    <t>Time (hrs)</t>
  </si>
  <si>
    <t>PFU/gr</t>
  </si>
  <si>
    <t xml:space="preserve">time </t>
  </si>
  <si>
    <t>ln(ct/c0)</t>
  </si>
  <si>
    <t>Ct/C0</t>
  </si>
  <si>
    <t>time (hr)</t>
  </si>
  <si>
    <t>pfu gdw-1</t>
  </si>
  <si>
    <t>t4</t>
  </si>
  <si>
    <t>t0</t>
  </si>
  <si>
    <t>t1</t>
  </si>
  <si>
    <t>t2</t>
  </si>
  <si>
    <t>t3</t>
  </si>
  <si>
    <t>t5</t>
  </si>
  <si>
    <t>t6</t>
  </si>
  <si>
    <t>t7</t>
  </si>
  <si>
    <t>t8</t>
  </si>
  <si>
    <t>t9</t>
  </si>
  <si>
    <t>t10</t>
  </si>
  <si>
    <t>t11</t>
  </si>
  <si>
    <t>t12</t>
  </si>
  <si>
    <t>t(days)</t>
  </si>
  <si>
    <t>log(pfu/ml)</t>
  </si>
  <si>
    <t>time (hrs)</t>
  </si>
  <si>
    <t>log(vlp/ml)</t>
  </si>
  <si>
    <t>vlp/ml</t>
  </si>
  <si>
    <t>ln (PFU/ml)</t>
  </si>
  <si>
    <t>PFU/ml</t>
  </si>
  <si>
    <t>ln bar</t>
  </si>
  <si>
    <t xml:space="preserve">SEM </t>
  </si>
  <si>
    <t>PFU/ML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</si>
</sst>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"/>
    <numFmt numFmtId="166" formatCode="0.00000000"/>
  </numFmts>
  <fonts count="5" x14ac:knownFonts="1">
    <font>
      <sz val="12"/>
      <color theme="1"/>
      <name val="Aptos Narrow"/>
      <family val="2"/>
      <scheme val="minor"/>
    </font>
    <font>
      <sz val="12"/>
      <color rgb="FF2C2C2C"/>
      <name val="Calibri"/>
      <family val="2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6" fontId="0" fillId="0" borderId="0" xfId="0" applyNumberFormat="1"/>
    <xf numFmtId="166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11" fontId="0" fillId="0" borderId="0" xfId="0" applyNumberForma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'Petterson et. al 2001 (G1)'!$B$2:$B$21</c:f>
              <c:numCache>
                <c:formatCode>0</c:formatCode>
                <c:ptCount val="20"/>
                <c:pt idx="0">
                  <c:v>-2.170573491638E-2</c:v>
                </c:pt>
                <c:pt idx="1">
                  <c:v>-2.97287716046695E-2</c:v>
                </c:pt>
                <c:pt idx="2">
                  <c:v>-1.5237550299464501E-2</c:v>
                </c:pt>
                <c:pt idx="3">
                  <c:v>-2.9044636693265E-2</c:v>
                </c:pt>
                <c:pt idx="4">
                  <c:v>0.94404398365539499</c:v>
                </c:pt>
                <c:pt idx="5">
                  <c:v>0.98963224638807801</c:v>
                </c:pt>
                <c:pt idx="6">
                  <c:v>0.98129823928551396</c:v>
                </c:pt>
                <c:pt idx="7">
                  <c:v>0.97495444283430799</c:v>
                </c:pt>
                <c:pt idx="8">
                  <c:v>0.96724237656029399</c:v>
                </c:pt>
                <c:pt idx="9">
                  <c:v>0.96344853750614101</c:v>
                </c:pt>
                <c:pt idx="10">
                  <c:v>3.0046583368058299</c:v>
                </c:pt>
                <c:pt idx="11">
                  <c:v>2.9723796078041098</c:v>
                </c:pt>
                <c:pt idx="12">
                  <c:v>2.9846940362093899</c:v>
                </c:pt>
                <c:pt idx="13">
                  <c:v>2.9846940362093899</c:v>
                </c:pt>
                <c:pt idx="14">
                  <c:v>2.99638652378612</c:v>
                </c:pt>
                <c:pt idx="15">
                  <c:v>5.9568870617649399</c:v>
                </c:pt>
                <c:pt idx="16">
                  <c:v>5.9947010641407497</c:v>
                </c:pt>
                <c:pt idx="17">
                  <c:v>5.9739282404671998</c:v>
                </c:pt>
                <c:pt idx="18">
                  <c:v>6.0085081505345501</c:v>
                </c:pt>
                <c:pt idx="19">
                  <c:v>9.9822746863863294</c:v>
                </c:pt>
              </c:numCache>
            </c:numRef>
          </c:xVal>
          <c:yVal>
            <c:numRef>
              <c:f>'Petterson et. al 2001 (G1)'!$D$2:$D$21</c:f>
              <c:numCache>
                <c:formatCode>General</c:formatCode>
                <c:ptCount val="20"/>
                <c:pt idx="0">
                  <c:v>22763.900333848829</c:v>
                </c:pt>
                <c:pt idx="1">
                  <c:v>12840.627339099983</c:v>
                </c:pt>
                <c:pt idx="2">
                  <c:v>7910.299753039003</c:v>
                </c:pt>
                <c:pt idx="3">
                  <c:v>4121.5608652585643</c:v>
                </c:pt>
                <c:pt idx="4">
                  <c:v>10309.132430375817</c:v>
                </c:pt>
                <c:pt idx="5">
                  <c:v>7143.7720375279077</c:v>
                </c:pt>
                <c:pt idx="6">
                  <c:v>4342.7401688832115</c:v>
                </c:pt>
                <c:pt idx="7">
                  <c:v>796.80000582346133</c:v>
                </c:pt>
                <c:pt idx="8">
                  <c:v>27.560618268895528</c:v>
                </c:pt>
                <c:pt idx="9">
                  <c:v>41.716850883017635</c:v>
                </c:pt>
                <c:pt idx="10">
                  <c:v>30.146675756191673</c:v>
                </c:pt>
                <c:pt idx="11">
                  <c:v>21.777874415801236</c:v>
                </c:pt>
                <c:pt idx="12">
                  <c:v>11.577528360613469</c:v>
                </c:pt>
                <c:pt idx="13">
                  <c:v>8.2057047411672652</c:v>
                </c:pt>
                <c:pt idx="14">
                  <c:v>5.219359346356498</c:v>
                </c:pt>
                <c:pt idx="15">
                  <c:v>4.0990790335920266</c:v>
                </c:pt>
                <c:pt idx="16">
                  <c:v>2.4350069554434701</c:v>
                </c:pt>
                <c:pt idx="17">
                  <c:v>1.6932621945204818</c:v>
                </c:pt>
                <c:pt idx="18">
                  <c:v>1.1151543108308608</c:v>
                </c:pt>
                <c:pt idx="19">
                  <c:v>0.20796088042373762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CA-9A4A-B60B-60A8C819B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626511"/>
        <c:axId val="2060991023"/>
      </c:scatterChart>
      <c:valAx>
        <c:axId val="106962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91023"/>
        <c:crosses val="autoZero"/>
        <c:crossBetween val="midCat"/>
      </c:valAx>
      <c:valAx>
        <c:axId val="20609910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62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'Fischer et.al 2002(panel d)'!$B$2:$B$21</c:f>
              <c:numCache>
                <c:formatCode>0.0</c:formatCode>
                <c:ptCount val="20"/>
                <c:pt idx="0">
                  <c:v>2.4116640041543898E-2</c:v>
                </c:pt>
                <c:pt idx="1">
                  <c:v>-1.1002116807273699E-3</c:v>
                </c:pt>
                <c:pt idx="2">
                  <c:v>2.4336682377689399E-2</c:v>
                </c:pt>
                <c:pt idx="3">
                  <c:v>0.46745793890744503</c:v>
                </c:pt>
                <c:pt idx="4">
                  <c:v>0.49896800144347703</c:v>
                </c:pt>
                <c:pt idx="5">
                  <c:v>0.97932042124904795</c:v>
                </c:pt>
                <c:pt idx="6">
                  <c:v>1.49743210593718</c:v>
                </c:pt>
                <c:pt idx="7">
                  <c:v>1.49743210593718</c:v>
                </c:pt>
                <c:pt idx="8">
                  <c:v>1.9889626764189401</c:v>
                </c:pt>
                <c:pt idx="9">
                  <c:v>1.9824934317362599</c:v>
                </c:pt>
                <c:pt idx="10">
                  <c:v>2.0041015891457499</c:v>
                </c:pt>
                <c:pt idx="11">
                  <c:v>2.98927513653627</c:v>
                </c:pt>
                <c:pt idx="12">
                  <c:v>2.98927513653627</c:v>
                </c:pt>
                <c:pt idx="13">
                  <c:v>2.98927513653627</c:v>
                </c:pt>
                <c:pt idx="14">
                  <c:v>4.9799541431771397</c:v>
                </c:pt>
                <c:pt idx="15">
                  <c:v>4.98347482055547</c:v>
                </c:pt>
                <c:pt idx="16">
                  <c:v>4.98347482055547</c:v>
                </c:pt>
                <c:pt idx="17">
                  <c:v>8.9768471453907708</c:v>
                </c:pt>
                <c:pt idx="18">
                  <c:v>8.9881573214686501</c:v>
                </c:pt>
                <c:pt idx="19">
                  <c:v>8.9881573214686501</c:v>
                </c:pt>
              </c:numCache>
            </c:numRef>
          </c:xVal>
          <c:yVal>
            <c:numRef>
              <c:f>'Fischer et.al 2002(panel d)'!$C$2:$C$21</c:f>
              <c:numCache>
                <c:formatCode>General</c:formatCode>
                <c:ptCount val="20"/>
                <c:pt idx="0">
                  <c:v>37810132.2054471</c:v>
                </c:pt>
                <c:pt idx="1">
                  <c:v>37085974.209614098</c:v>
                </c:pt>
                <c:pt idx="2">
                  <c:v>36047601.469088398</c:v>
                </c:pt>
                <c:pt idx="3">
                  <c:v>28487677.301081698</c:v>
                </c:pt>
                <c:pt idx="4">
                  <c:v>27072397.029287901</c:v>
                </c:pt>
                <c:pt idx="5">
                  <c:v>19760240.760322001</c:v>
                </c:pt>
                <c:pt idx="6">
                  <c:v>20327854.4926701</c:v>
                </c:pt>
                <c:pt idx="7">
                  <c:v>18917829.903583199</c:v>
                </c:pt>
                <c:pt idx="8">
                  <c:v>16712695.602119699</c:v>
                </c:pt>
                <c:pt idx="9">
                  <c:v>19992241.611242101</c:v>
                </c:pt>
                <c:pt idx="10">
                  <c:v>25365801.7731672</c:v>
                </c:pt>
                <c:pt idx="11">
                  <c:v>20079711.187721699</c:v>
                </c:pt>
                <c:pt idx="12">
                  <c:v>19266206.585870899</c:v>
                </c:pt>
                <c:pt idx="13">
                  <c:v>18323937.757700499</c:v>
                </c:pt>
                <c:pt idx="14">
                  <c:v>22147071.5210821</c:v>
                </c:pt>
                <c:pt idx="15">
                  <c:v>19744098.306293599</c:v>
                </c:pt>
                <c:pt idx="16">
                  <c:v>17879457.163057499</c:v>
                </c:pt>
                <c:pt idx="17">
                  <c:v>20211103.255394801</c:v>
                </c:pt>
                <c:pt idx="18">
                  <c:v>19099526.362879802</c:v>
                </c:pt>
                <c:pt idx="19">
                  <c:v>18188416.225043301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2-7B4D-9172-983638E9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483439"/>
        <c:axId val="2099001039"/>
      </c:scatterChart>
      <c:valAx>
        <c:axId val="209848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001039"/>
        <c:crosses val="autoZero"/>
        <c:crossBetween val="midCat"/>
      </c:valAx>
      <c:valAx>
        <c:axId val="209900103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'DiPietro et. al 2023 (t4)'!$B$17:$B$25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144</c:v>
                </c:pt>
                <c:pt idx="5">
                  <c:v>504</c:v>
                </c:pt>
                <c:pt idx="6">
                  <c:v>600</c:v>
                </c:pt>
                <c:pt idx="7">
                  <c:v>984</c:v>
                </c:pt>
                <c:pt idx="8">
                  <c:v>1200</c:v>
                </c:pt>
              </c:numCache>
            </c:numRef>
          </c:xVal>
          <c:yVal>
            <c:numRef>
              <c:f>'DiPietro et. al 2023 (t4)'!$F$17:$F$25</c:f>
              <c:numCache>
                <c:formatCode>0.00E+00</c:formatCode>
                <c:ptCount val="9"/>
                <c:pt idx="0">
                  <c:v>210666666.66666666</c:v>
                </c:pt>
                <c:pt idx="1">
                  <c:v>1170000</c:v>
                </c:pt>
                <c:pt idx="2">
                  <c:v>971666.66666666663</c:v>
                </c:pt>
                <c:pt idx="3">
                  <c:v>7026666.666666667</c:v>
                </c:pt>
                <c:pt idx="4">
                  <c:v>283333.33333333331</c:v>
                </c:pt>
                <c:pt idx="5">
                  <c:v>45366.666666666664</c:v>
                </c:pt>
                <c:pt idx="6">
                  <c:v>45700</c:v>
                </c:pt>
                <c:pt idx="7">
                  <c:v>21483.333333333332</c:v>
                </c:pt>
                <c:pt idx="8">
                  <c:v>5616.666666666667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4-0D43-A6CE-D845D628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756112"/>
        <c:axId val="1408335168"/>
      </c:scatterChart>
      <c:valAx>
        <c:axId val="14087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35168"/>
        <c:crosses val="autoZero"/>
        <c:crossBetween val="midCat"/>
      </c:valAx>
      <c:valAx>
        <c:axId val="14083351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75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127000</xdr:colOff>
      <xdr:row>30</xdr:row>
      <xdr:rowOff>101600</xdr:rowOff>
    </xdr:from>
    <xdr:to>
      <xdr:col>20</xdr:col>
      <xdr:colOff>393700</xdr:colOff>
      <xdr:row>51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5DF5D-DE61-E562-881A-52BA241B7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215900</xdr:colOff>
      <xdr:row>27</xdr:row>
      <xdr:rowOff>76200</xdr:rowOff>
    </xdr:from>
    <xdr:to>
      <xdr:col>20</xdr:col>
      <xdr:colOff>584200</xdr:colOff>
      <xdr:row>45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74A9F-88BC-4822-54A3-5762F0603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615950</xdr:colOff>
      <xdr:row>30</xdr:row>
      <xdr:rowOff>101600</xdr:rowOff>
    </xdr:from>
    <xdr:to>
      <xdr:col>23</xdr:col>
      <xdr:colOff>177800</xdr:colOff>
      <xdr:row>46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BCC3EE-4932-B73C-417D-B25EFBC6F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FC41-85EF-8541-83CD-F6712B28B292}">
  <dimension ref="B1:O16"/>
  <sheetViews>
    <sheetView zoomScale="150" workbookViewId="0">
      <selection activeCell="C28" sqref="C28"/>
    </sheetView>
  </sheetViews>
  <sheetFormatPr defaultColWidth="11" defaultRowHeight="15.75" x14ac:dyDescent="0.25"/>
  <cols>
    <col min="2" max="2" width="11.125" bestFit="1" customWidth="1"/>
    <col min="3" max="3" width="15.5" customWidth="1"/>
    <col min="5" max="5" width="11.125" bestFit="1" customWidth="1"/>
    <col min="6" max="6" width="12.625" bestFit="1" customWidth="1"/>
    <col min="8" max="8" width="11.125" bestFit="1" customWidth="1"/>
    <col min="9" max="9" width="12.625" bestFit="1" customWidth="1"/>
    <col min="11" max="11" width="11.125" bestFit="1" customWidth="1"/>
    <col min="12" max="12" width="12.625" bestFit="1" customWidth="1"/>
    <col min="14" max="14" width="11.125" bestFit="1" customWidth="1"/>
    <col min="15" max="15" width="12.625" bestFit="1" customWidth="1"/>
  </cols>
  <sheetData>
    <row r="1" spans="2:15" x14ac:dyDescent="0.25">
      <c r="B1" t="s">
        <v>16</v>
      </c>
      <c r="E1" t="s">
        <v>17</v>
      </c>
      <c r="H1" s="4" t="s">
        <v>18</v>
      </c>
      <c r="K1" t="s">
        <v>19</v>
      </c>
      <c r="N1" t="s">
        <v>20</v>
      </c>
    </row>
    <row r="2" spans="2:15" x14ac:dyDescent="0.25">
      <c r="B2" s="1">
        <v>0</v>
      </c>
      <c r="C2" s="2">
        <v>100</v>
      </c>
      <c r="D2" s="2"/>
      <c r="E2" s="1">
        <v>0</v>
      </c>
      <c r="F2" s="2">
        <v>100</v>
      </c>
      <c r="G2" s="2"/>
      <c r="H2" s="1">
        <v>0</v>
      </c>
      <c r="I2" s="2">
        <v>100</v>
      </c>
      <c r="J2" s="2"/>
      <c r="K2" s="1">
        <v>0</v>
      </c>
      <c r="L2" s="2">
        <v>100</v>
      </c>
      <c r="M2" s="2"/>
      <c r="N2" s="1">
        <v>0</v>
      </c>
      <c r="O2" s="2">
        <v>100</v>
      </c>
    </row>
    <row r="3" spans="2:15" x14ac:dyDescent="0.25">
      <c r="B3" s="1">
        <v>5</v>
      </c>
      <c r="C3" s="1">
        <v>0.88852671461670596</v>
      </c>
      <c r="E3" s="1">
        <v>5</v>
      </c>
      <c r="F3" s="1">
        <v>19.699595624522999</v>
      </c>
      <c r="H3" s="1">
        <v>5</v>
      </c>
      <c r="I3" s="1">
        <v>72.678561076280303</v>
      </c>
      <c r="K3" s="1">
        <v>5</v>
      </c>
      <c r="L3" s="1">
        <v>74.387305908898398</v>
      </c>
      <c r="N3" s="1">
        <v>5</v>
      </c>
      <c r="O3" s="1">
        <v>98.425192476606298</v>
      </c>
    </row>
    <row r="4" spans="2:15" x14ac:dyDescent="0.25">
      <c r="B4" s="1">
        <v>90</v>
      </c>
      <c r="C4" s="1">
        <v>4.5542859494759703E-2</v>
      </c>
      <c r="E4" s="1">
        <v>90</v>
      </c>
      <c r="F4" s="1">
        <v>0.38230919180702</v>
      </c>
      <c r="H4" s="1">
        <v>90</v>
      </c>
      <c r="I4" s="1">
        <v>0.55717498845935798</v>
      </c>
      <c r="K4" s="1">
        <v>90</v>
      </c>
      <c r="L4" s="1">
        <v>0.84473464062335801</v>
      </c>
      <c r="N4" s="1">
        <v>90</v>
      </c>
      <c r="O4" s="1">
        <v>1.17699358224527</v>
      </c>
    </row>
    <row r="5" spans="2:15" x14ac:dyDescent="0.25">
      <c r="B5" s="1">
        <v>180</v>
      </c>
      <c r="C5" s="1">
        <v>2.6040799788441902E-3</v>
      </c>
      <c r="E5" s="1">
        <v>180</v>
      </c>
      <c r="F5" s="1">
        <v>6.0660106526542398E-3</v>
      </c>
      <c r="H5" s="1">
        <v>180</v>
      </c>
      <c r="I5" s="1">
        <v>3.5171943365925802E-3</v>
      </c>
      <c r="K5" s="1">
        <v>180</v>
      </c>
      <c r="L5" s="1">
        <v>1.63937355914975E-2</v>
      </c>
      <c r="N5" s="1">
        <v>180</v>
      </c>
      <c r="O5" s="1">
        <v>2.26713552535482E-2</v>
      </c>
    </row>
    <row r="6" spans="2:15" x14ac:dyDescent="0.25">
      <c r="B6" s="1">
        <v>270</v>
      </c>
      <c r="C6" s="1">
        <v>1.21860011752223E-4</v>
      </c>
      <c r="E6" s="1">
        <v>270</v>
      </c>
      <c r="F6" s="1">
        <v>3.3673462322839E-4</v>
      </c>
      <c r="H6" s="1">
        <v>270</v>
      </c>
      <c r="I6" s="1">
        <v>1.06892253081777E-4</v>
      </c>
      <c r="K6" s="1">
        <v>270</v>
      </c>
      <c r="L6" s="1">
        <v>2.20107532293729E-3</v>
      </c>
      <c r="N6" s="1">
        <v>270</v>
      </c>
      <c r="O6" s="1">
        <v>3.5163673670708E-4</v>
      </c>
    </row>
    <row r="7" spans="2:15" x14ac:dyDescent="0.25">
      <c r="B7" s="1">
        <v>360</v>
      </c>
      <c r="C7" s="1">
        <v>3.7799183826632202E-5</v>
      </c>
      <c r="E7" s="1">
        <v>360</v>
      </c>
      <c r="F7" s="1">
        <v>1.9320183751142599E-5</v>
      </c>
      <c r="H7" s="1">
        <v>360</v>
      </c>
      <c r="I7" s="1">
        <v>4.0000000000000003E-5</v>
      </c>
      <c r="K7" s="1">
        <v>360</v>
      </c>
      <c r="L7" s="1">
        <v>1.90711880792064E-4</v>
      </c>
      <c r="N7" s="1">
        <v>360</v>
      </c>
      <c r="O7" s="1">
        <v>1.4215651875588099E-5</v>
      </c>
    </row>
    <row r="9" spans="2:15" x14ac:dyDescent="0.25">
      <c r="B9" s="3" t="s">
        <v>0</v>
      </c>
    </row>
    <row r="10" spans="2:15" x14ac:dyDescent="0.25">
      <c r="B10" t="s">
        <v>1</v>
      </c>
      <c r="C10" t="s">
        <v>2</v>
      </c>
      <c r="D10" t="s">
        <v>3</v>
      </c>
    </row>
    <row r="11" spans="2:15" x14ac:dyDescent="0.25">
      <c r="B11" s="1">
        <v>0</v>
      </c>
      <c r="C11" s="2">
        <f t="shared" ref="C11:C16" si="0">AVERAGE(C2,F2,I2,L2,O2)</f>
        <v>100</v>
      </c>
      <c r="D11">
        <f t="shared" ref="D11:D16" si="1">(_xlfn.STDEV.S(C2,F2,I2,L2,O2))/SQRT(5)</f>
        <v>0</v>
      </c>
    </row>
    <row r="12" spans="2:15" x14ac:dyDescent="0.25">
      <c r="B12" s="1">
        <v>5</v>
      </c>
      <c r="C12" s="2">
        <f t="shared" si="0"/>
        <v>53.215836360184937</v>
      </c>
      <c r="D12">
        <f t="shared" si="1"/>
        <v>18.347207395789205</v>
      </c>
    </row>
    <row r="13" spans="2:15" x14ac:dyDescent="0.25">
      <c r="B13" s="1">
        <v>90</v>
      </c>
      <c r="C13" s="2">
        <f t="shared" si="0"/>
        <v>0.60135105252595322</v>
      </c>
      <c r="D13">
        <f t="shared" si="1"/>
        <v>0.19357860183928519</v>
      </c>
    </row>
    <row r="14" spans="2:15" x14ac:dyDescent="0.25">
      <c r="B14" s="1">
        <v>180</v>
      </c>
      <c r="C14" s="2">
        <f t="shared" si="0"/>
        <v>1.0250475162627342E-2</v>
      </c>
      <c r="D14">
        <f t="shared" si="1"/>
        <v>3.9581061390140237E-3</v>
      </c>
    </row>
    <row r="15" spans="2:15" x14ac:dyDescent="0.25">
      <c r="B15" s="1">
        <v>270</v>
      </c>
      <c r="C15" s="2">
        <f t="shared" si="0"/>
        <v>6.2363978954135205E-4</v>
      </c>
      <c r="D15">
        <f t="shared" si="1"/>
        <v>3.9770680526384671E-4</v>
      </c>
    </row>
    <row r="16" spans="2:15" x14ac:dyDescent="0.25">
      <c r="B16" s="1">
        <v>360</v>
      </c>
      <c r="C16" s="2">
        <f t="shared" si="0"/>
        <v>6.040938004908538E-5</v>
      </c>
      <c r="D16">
        <f t="shared" si="1"/>
        <v>3.2961104382330407E-5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42F0-64FC-D74E-8FE9-87F7293FFC82}">
  <dimension ref="B2:L42"/>
  <sheetViews>
    <sheetView workbookViewId="0">
      <selection activeCell="G2" activeCellId="2" sqref="B2:B7 D2:D7 G2:G7"/>
    </sheetView>
  </sheetViews>
  <sheetFormatPr defaultColWidth="11" defaultRowHeight="15.75" x14ac:dyDescent="0.25"/>
  <cols>
    <col min="2" max="2" width="10.875" customWidth="1"/>
    <col min="5" max="5" width="15.125" customWidth="1"/>
  </cols>
  <sheetData>
    <row r="2" spans="2:7" x14ac:dyDescent="0.25">
      <c r="B2" t="s">
        <v>9</v>
      </c>
      <c r="C2" t="s">
        <v>5</v>
      </c>
      <c r="D2" t="s">
        <v>6</v>
      </c>
      <c r="E2" t="s">
        <v>7</v>
      </c>
      <c r="F2" t="s">
        <v>8</v>
      </c>
      <c r="G2" t="s">
        <v>3</v>
      </c>
    </row>
    <row r="3" spans="2:7" x14ac:dyDescent="0.25">
      <c r="B3" s="1">
        <v>0.114571650418428</v>
      </c>
      <c r="C3" s="1">
        <v>4.9985011192300401</v>
      </c>
      <c r="D3">
        <f>10^C3</f>
        <v>99655.464837477411</v>
      </c>
      <c r="E3" s="1">
        <v>5.0356970288633098</v>
      </c>
      <c r="F3" s="1">
        <f>10^E3</f>
        <v>108566.79791286454</v>
      </c>
      <c r="G3">
        <f>F3-D3</f>
        <v>8911.3330753871269</v>
      </c>
    </row>
    <row r="4" spans="2:7" x14ac:dyDescent="0.25">
      <c r="B4" s="1">
        <v>2.1336669254881602</v>
      </c>
      <c r="C4" s="1">
        <v>4.7851669970120998</v>
      </c>
      <c r="D4">
        <f>10^C4</f>
        <v>60977.132438098706</v>
      </c>
      <c r="E4" s="1">
        <v>4.8295220345334204</v>
      </c>
      <c r="F4" s="1">
        <f>10^E4</f>
        <v>67533.931740363536</v>
      </c>
      <c r="G4">
        <f>F4-D4</f>
        <v>6556.7993022648297</v>
      </c>
    </row>
    <row r="5" spans="2:7" x14ac:dyDescent="0.25">
      <c r="B5" s="1">
        <v>3.9820550427055399</v>
      </c>
      <c r="C5" s="1">
        <v>3.3509747655533499</v>
      </c>
      <c r="D5">
        <f>10^C5</f>
        <v>2243.7515480214856</v>
      </c>
      <c r="E5" s="1">
        <v>3.4396651184806002</v>
      </c>
      <c r="F5" s="1">
        <f>10^E5</f>
        <v>2752.1057549296811</v>
      </c>
      <c r="G5">
        <f>F5-D5</f>
        <v>508.35420690819547</v>
      </c>
    </row>
    <row r="6" spans="2:7" x14ac:dyDescent="0.25">
      <c r="B6" s="1">
        <v>6.0096051534236299</v>
      </c>
      <c r="C6" s="1">
        <v>3.2181463183740999</v>
      </c>
      <c r="D6">
        <f>10^C6</f>
        <v>1652.5184552825967</v>
      </c>
      <c r="E6" s="1">
        <v>3.2905264818704398</v>
      </c>
      <c r="F6" s="1">
        <f>10^E6</f>
        <v>1952.2097698408791</v>
      </c>
      <c r="G6">
        <f>F6-D6</f>
        <v>299.69131455828233</v>
      </c>
    </row>
    <row r="7" spans="2:7" x14ac:dyDescent="0.25">
      <c r="B7" s="1">
        <v>9.0515342363327793</v>
      </c>
      <c r="C7" s="1">
        <v>2.9916181009575</v>
      </c>
      <c r="D7">
        <f>10^C7</f>
        <v>980.88501748060105</v>
      </c>
      <c r="E7" s="1">
        <v>3.0795590134997801</v>
      </c>
      <c r="F7" s="1">
        <f>10^E7</f>
        <v>1201.0442641511534</v>
      </c>
      <c r="G7">
        <f>F7-D7</f>
        <v>220.15924667055231</v>
      </c>
    </row>
    <row r="12" spans="2:7" x14ac:dyDescent="0.25">
      <c r="B12" s="1"/>
      <c r="C12" s="1"/>
      <c r="D12" s="4"/>
    </row>
    <row r="13" spans="2:7" x14ac:dyDescent="0.25">
      <c r="B13" s="1"/>
      <c r="C13" s="1"/>
      <c r="D13" s="4"/>
    </row>
    <row r="14" spans="2:7" x14ac:dyDescent="0.25">
      <c r="B14" s="1"/>
      <c r="C14" s="1"/>
      <c r="D14" s="4"/>
    </row>
    <row r="15" spans="2:7" x14ac:dyDescent="0.25">
      <c r="B15" s="1"/>
      <c r="C15" s="1"/>
      <c r="D15" s="4"/>
    </row>
    <row r="16" spans="2:7" x14ac:dyDescent="0.25">
      <c r="B16" s="1"/>
      <c r="C16" s="1"/>
      <c r="D16" s="4"/>
    </row>
    <row r="38" spans="11:12" x14ac:dyDescent="0.25">
      <c r="K38" s="1">
        <v>0.15362493888936801</v>
      </c>
      <c r="L38" s="1">
        <v>5.0356970288633098</v>
      </c>
    </row>
    <row r="39" spans="11:12" x14ac:dyDescent="0.25">
      <c r="K39" s="1">
        <v>2.0851522733154999</v>
      </c>
      <c r="L39" s="1">
        <v>4.8295220345334204</v>
      </c>
    </row>
    <row r="40" spans="11:12" x14ac:dyDescent="0.25">
      <c r="K40" s="1">
        <v>4.00661432720789</v>
      </c>
      <c r="L40" s="1">
        <v>3.4396651184806002</v>
      </c>
    </row>
    <row r="41" spans="11:12" x14ac:dyDescent="0.25">
      <c r="K41" s="1">
        <v>5.8950622609495804</v>
      </c>
      <c r="L41" s="1">
        <v>3.2905264818704398</v>
      </c>
    </row>
    <row r="42" spans="11:12" x14ac:dyDescent="0.25">
      <c r="K42" s="1">
        <v>8.9844994679780292</v>
      </c>
      <c r="L42" s="1">
        <v>3.0795590134997801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0086-EEB9-134F-9DE0-C8F435D64AB8}">
  <dimension ref="B2:E15"/>
  <sheetViews>
    <sheetView tabSelected="1" workbookViewId="0">
      <selection activeCell="F15" sqref="F15"/>
    </sheetView>
  </sheetViews>
  <sheetFormatPr defaultColWidth="11" defaultRowHeight="15.75" x14ac:dyDescent="0.25"/>
  <cols>
    <col min="2" max="2" width="9" customWidth="1"/>
  </cols>
  <sheetData>
    <row r="2" spans="2:5" x14ac:dyDescent="0.25">
      <c r="B2" t="s">
        <v>4</v>
      </c>
      <c r="C2" t="s">
        <v>10</v>
      </c>
      <c r="D2" t="s">
        <v>11</v>
      </c>
      <c r="E2" t="s">
        <v>3</v>
      </c>
    </row>
    <row r="3" spans="2:5" x14ac:dyDescent="0.25">
      <c r="B3" s="8">
        <v>6.9731028603444906E-2</v>
      </c>
      <c r="C3" s="1">
        <v>2756.2391569418101</v>
      </c>
      <c r="D3" s="1">
        <v>2756.2391569418101</v>
      </c>
      <c r="E3">
        <f>C3-D3</f>
        <v>0</v>
      </c>
    </row>
    <row r="4" spans="2:5" x14ac:dyDescent="0.25">
      <c r="B4" s="8">
        <v>24.030724173804899</v>
      </c>
      <c r="C4" s="1">
        <v>1121.37363668799</v>
      </c>
      <c r="D4" s="1">
        <v>1121.37363668799</v>
      </c>
      <c r="E4">
        <f>C4-D4</f>
        <v>0</v>
      </c>
    </row>
    <row r="5" spans="2:5" x14ac:dyDescent="0.25">
      <c r="B5" s="8">
        <v>71.748017776493896</v>
      </c>
      <c r="C5" s="1">
        <v>373.99553543337902</v>
      </c>
      <c r="D5" s="1">
        <v>277.23820999293503</v>
      </c>
      <c r="E5">
        <f>C5-D5</f>
        <v>96.757325440443992</v>
      </c>
    </row>
    <row r="6" spans="2:5" x14ac:dyDescent="0.25">
      <c r="B6" s="8">
        <v>119.69864067824599</v>
      </c>
      <c r="C6" s="1">
        <v>101.719889298558</v>
      </c>
      <c r="D6" s="1">
        <v>87.249944714252507</v>
      </c>
      <c r="E6">
        <f>C6-D6</f>
        <v>14.469944584305495</v>
      </c>
    </row>
    <row r="7" spans="2:5" x14ac:dyDescent="0.25">
      <c r="B7" s="8">
        <v>191.759542975459</v>
      </c>
      <c r="C7" s="1">
        <v>29.564402390000001</v>
      </c>
      <c r="D7" s="1">
        <v>29.564402390000001</v>
      </c>
      <c r="E7">
        <f>C7-D7</f>
        <v>0</v>
      </c>
    </row>
    <row r="10" spans="2:5" x14ac:dyDescent="0.25">
      <c r="B10" t="s">
        <v>4</v>
      </c>
      <c r="C10" t="s">
        <v>10</v>
      </c>
      <c r="D10" t="s">
        <v>3</v>
      </c>
    </row>
    <row r="11" spans="2:5" x14ac:dyDescent="0.25">
      <c r="B11" s="8">
        <v>6.9731028603444906E-2</v>
      </c>
      <c r="C11" s="1">
        <v>2756.2391569418101</v>
      </c>
      <c r="D11">
        <v>0</v>
      </c>
    </row>
    <row r="12" spans="2:5" x14ac:dyDescent="0.25">
      <c r="B12" s="8">
        <v>24.030724173804899</v>
      </c>
      <c r="C12" s="1">
        <v>1121.37363668799</v>
      </c>
      <c r="D12">
        <v>0</v>
      </c>
    </row>
    <row r="13" spans="2:5" x14ac:dyDescent="0.25">
      <c r="B13" s="8">
        <v>71.748017776493896</v>
      </c>
      <c r="C13" s="1">
        <v>373.99553543337902</v>
      </c>
      <c r="D13">
        <v>96.757325440443992</v>
      </c>
    </row>
    <row r="14" spans="2:5" x14ac:dyDescent="0.25">
      <c r="B14" s="8">
        <v>119.69864067824599</v>
      </c>
      <c r="C14" s="1">
        <v>101.719889298558</v>
      </c>
      <c r="D14">
        <v>14.469944584305495</v>
      </c>
    </row>
    <row r="15" spans="2:5" x14ac:dyDescent="0.25">
      <c r="B15" s="8">
        <v>191.759542975459</v>
      </c>
      <c r="C15" s="1">
        <v>29.564402390000001</v>
      </c>
      <c r="D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D8F7-6FD5-D741-A47F-CD91146C5C79}">
  <dimension ref="B1:E13"/>
  <sheetViews>
    <sheetView workbookViewId="0">
      <selection activeCell="B8" sqref="B8:D13"/>
    </sheetView>
  </sheetViews>
  <sheetFormatPr defaultColWidth="11" defaultRowHeight="15.75" x14ac:dyDescent="0.25"/>
  <sheetData>
    <row r="1" spans="2:5" x14ac:dyDescent="0.25">
      <c r="B1" t="s">
        <v>4</v>
      </c>
      <c r="C1" t="s">
        <v>12</v>
      </c>
      <c r="D1" t="s">
        <v>11</v>
      </c>
      <c r="E1" t="s">
        <v>3</v>
      </c>
    </row>
    <row r="2" spans="2:5" x14ac:dyDescent="0.25">
      <c r="B2" s="9">
        <v>0.53347676463606897</v>
      </c>
      <c r="C2" s="9">
        <v>22552688.3357438</v>
      </c>
      <c r="D2" s="1">
        <v>19420754.901640899</v>
      </c>
      <c r="E2">
        <f>C2-D2</f>
        <v>3131933.4341029003</v>
      </c>
    </row>
    <row r="3" spans="2:5" x14ac:dyDescent="0.25">
      <c r="B3" s="9">
        <v>3.7778378679905198</v>
      </c>
      <c r="C3" s="9">
        <v>9850086.8140511904</v>
      </c>
      <c r="D3" s="1">
        <v>8474244.6815066095</v>
      </c>
      <c r="E3">
        <f>C3-D3</f>
        <v>1375842.1325445808</v>
      </c>
    </row>
    <row r="4" spans="2:5" x14ac:dyDescent="0.25">
      <c r="B4" s="9">
        <v>20.003376393805301</v>
      </c>
      <c r="C4" s="9">
        <v>7010766.3922690097</v>
      </c>
      <c r="D4" s="1">
        <v>6104672.7345882403</v>
      </c>
      <c r="E4">
        <f>C4-D4</f>
        <v>906093.65768076945</v>
      </c>
    </row>
    <row r="5" spans="2:5" x14ac:dyDescent="0.25">
      <c r="B5" s="9">
        <v>32.074406296974402</v>
      </c>
      <c r="C5" s="9">
        <v>6822288.1936515104</v>
      </c>
      <c r="D5" s="1">
        <v>6050439.8699420299</v>
      </c>
      <c r="E5">
        <f>C5-D5</f>
        <v>771848.32370948046</v>
      </c>
    </row>
    <row r="6" spans="2:5" x14ac:dyDescent="0.25">
      <c r="B6" s="9">
        <v>46.922399052123197</v>
      </c>
      <c r="C6" s="9">
        <v>5560482.3888907004</v>
      </c>
      <c r="D6" s="1">
        <v>4818743.1355277896</v>
      </c>
      <c r="E6">
        <f>C6-D6</f>
        <v>741739.25336291082</v>
      </c>
    </row>
    <row r="8" spans="2:5" x14ac:dyDescent="0.25">
      <c r="B8" t="s">
        <v>4</v>
      </c>
      <c r="C8" t="s">
        <v>12</v>
      </c>
      <c r="D8" t="s">
        <v>3</v>
      </c>
    </row>
    <row r="9" spans="2:5" x14ac:dyDescent="0.25">
      <c r="B9" s="9">
        <v>0.53347676463606897</v>
      </c>
      <c r="C9" s="9">
        <v>22552688.3357438</v>
      </c>
      <c r="D9">
        <v>3131933.4341029003</v>
      </c>
    </row>
    <row r="10" spans="2:5" x14ac:dyDescent="0.25">
      <c r="B10" s="9">
        <v>3.7778378679905198</v>
      </c>
      <c r="C10" s="9">
        <v>9850086.8140511904</v>
      </c>
      <c r="D10">
        <v>1375842.1325445808</v>
      </c>
    </row>
    <row r="11" spans="2:5" x14ac:dyDescent="0.25">
      <c r="B11" s="9">
        <v>20.003376393805301</v>
      </c>
      <c r="C11" s="9">
        <v>7010766.3922690097</v>
      </c>
      <c r="D11">
        <v>906093.65768076945</v>
      </c>
    </row>
    <row r="12" spans="2:5" x14ac:dyDescent="0.25">
      <c r="B12" s="9">
        <v>32.074406296974402</v>
      </c>
      <c r="C12" s="9">
        <v>6822288.1936515104</v>
      </c>
      <c r="D12">
        <v>771848.32370948046</v>
      </c>
    </row>
    <row r="13" spans="2:5" x14ac:dyDescent="0.25">
      <c r="B13" s="9">
        <v>46.922399052123197</v>
      </c>
      <c r="C13" s="9">
        <v>5560482.3888907004</v>
      </c>
      <c r="D13">
        <v>741739.25336291082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884B-60A2-C74D-B0E3-F946F9D9A861}">
  <dimension ref="B2:D23"/>
  <sheetViews>
    <sheetView workbookViewId="0">
      <selection activeCell="D2" activeCellId="1" sqref="B2:B8 D2:D8"/>
    </sheetView>
  </sheetViews>
  <sheetFormatPr defaultColWidth="11" defaultRowHeight="15.75" x14ac:dyDescent="0.25"/>
  <cols>
    <col min="3" max="3" width="22.5" customWidth="1"/>
  </cols>
  <sheetData>
    <row r="2" spans="2:4" x14ac:dyDescent="0.25">
      <c r="B2" t="s">
        <v>13</v>
      </c>
      <c r="C2" t="s">
        <v>14</v>
      </c>
      <c r="D2" t="s">
        <v>15</v>
      </c>
    </row>
    <row r="3" spans="2:4" x14ac:dyDescent="0.25">
      <c r="B3" s="1">
        <v>2.2909753993493098E-2</v>
      </c>
      <c r="C3" s="1">
        <v>16.528390640128102</v>
      </c>
      <c r="D3">
        <f t="shared" ref="D3:D8" si="0">EXP(C3)</f>
        <v>15072623.456073383</v>
      </c>
    </row>
    <row r="4" spans="2:4" x14ac:dyDescent="0.25">
      <c r="B4" s="1">
        <v>2.5294024142536999</v>
      </c>
      <c r="C4" s="1">
        <v>16.192638226045499</v>
      </c>
      <c r="D4">
        <f t="shared" si="0"/>
        <v>10773912.125706103</v>
      </c>
    </row>
    <row r="5" spans="2:4" x14ac:dyDescent="0.25">
      <c r="B5" s="1">
        <v>5.0292245610832902</v>
      </c>
      <c r="C5" s="1">
        <v>15.8627849988432</v>
      </c>
      <c r="D5">
        <f t="shared" si="0"/>
        <v>7746758.0589963254</v>
      </c>
    </row>
    <row r="6" spans="2:4" x14ac:dyDescent="0.25">
      <c r="B6" s="1">
        <v>8.3932554271498407</v>
      </c>
      <c r="C6" s="1">
        <v>15.819460033758601</v>
      </c>
      <c r="D6">
        <f t="shared" si="0"/>
        <v>7418296.7016538559</v>
      </c>
    </row>
    <row r="7" spans="2:4" x14ac:dyDescent="0.25">
      <c r="B7" s="1">
        <v>10.350387058342999</v>
      </c>
      <c r="C7" s="1">
        <v>15.7513173565473</v>
      </c>
      <c r="D7">
        <f t="shared" si="0"/>
        <v>6929632.6184301991</v>
      </c>
    </row>
    <row r="8" spans="2:4" x14ac:dyDescent="0.25">
      <c r="B8" s="1">
        <v>12.530917677952599</v>
      </c>
      <c r="C8" s="1">
        <v>15.6281156017856</v>
      </c>
      <c r="D8">
        <f t="shared" si="0"/>
        <v>6126386.167097182</v>
      </c>
    </row>
    <row r="18" spans="3:4" x14ac:dyDescent="0.25">
      <c r="C18" s="1"/>
      <c r="D18" s="1"/>
    </row>
    <row r="19" spans="3:4" x14ac:dyDescent="0.25">
      <c r="C19" s="1"/>
      <c r="D19" s="1"/>
    </row>
    <row r="20" spans="3:4" x14ac:dyDescent="0.25">
      <c r="C20" s="1"/>
      <c r="D20" s="1"/>
    </row>
    <row r="21" spans="3:4" x14ac:dyDescent="0.25">
      <c r="C21" s="1"/>
      <c r="D21" s="1"/>
    </row>
    <row r="22" spans="3:4" x14ac:dyDescent="0.25">
      <c r="C22" s="1"/>
      <c r="D22" s="1"/>
    </row>
    <row r="23" spans="3:4" x14ac:dyDescent="0.25">
      <c r="C23" s="1"/>
      <c r="D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6841-05C1-F64C-81D0-25B74F90156B}">
  <dimension ref="B1:L13"/>
  <sheetViews>
    <sheetView workbookViewId="0">
      <selection activeCell="B8" sqref="B8:D13"/>
    </sheetView>
  </sheetViews>
  <sheetFormatPr defaultColWidth="11" defaultRowHeight="15.75" x14ac:dyDescent="0.25"/>
  <cols>
    <col min="3" max="3" width="14.375" customWidth="1"/>
  </cols>
  <sheetData>
    <row r="1" spans="2:12" x14ac:dyDescent="0.25">
      <c r="B1" t="s">
        <v>23</v>
      </c>
      <c r="C1" t="s">
        <v>14</v>
      </c>
      <c r="D1" t="s">
        <v>15</v>
      </c>
      <c r="F1" t="s">
        <v>17</v>
      </c>
      <c r="G1" t="s">
        <v>14</v>
      </c>
      <c r="H1" t="s">
        <v>15</v>
      </c>
      <c r="J1" t="s">
        <v>21</v>
      </c>
      <c r="K1" t="s">
        <v>14</v>
      </c>
      <c r="L1" t="s">
        <v>15</v>
      </c>
    </row>
    <row r="2" spans="2:12" x14ac:dyDescent="0.25">
      <c r="B2" s="8">
        <v>-3.16790555312636E-2</v>
      </c>
      <c r="C2" s="1">
        <v>13.633952228866001</v>
      </c>
      <c r="D2">
        <f>EXP(C2)</f>
        <v>833969.59919004317</v>
      </c>
      <c r="F2" s="8">
        <v>-2.33737343143752E-2</v>
      </c>
      <c r="G2" s="1">
        <v>13.5817006886454</v>
      </c>
      <c r="H2">
        <f>EXP(G2)</f>
        <v>791512.29236130021</v>
      </c>
      <c r="J2" s="8">
        <v>2.58176368298191E-2</v>
      </c>
      <c r="K2" s="1">
        <v>13.5694488892919</v>
      </c>
      <c r="L2">
        <f>EXP(K2)</f>
        <v>781874.00630677072</v>
      </c>
    </row>
    <row r="3" spans="2:12" x14ac:dyDescent="0.25">
      <c r="B3" s="8">
        <v>2.9811762133799702</v>
      </c>
      <c r="C3" s="1">
        <v>13.490397833649601</v>
      </c>
      <c r="D3">
        <f>EXP(C3)</f>
        <v>722445.91183162248</v>
      </c>
      <c r="F3" s="8">
        <v>2.9703441829375898</v>
      </c>
      <c r="G3" s="1">
        <v>13.568801057261799</v>
      </c>
      <c r="H3">
        <f>EXP(G3)</f>
        <v>781367.64731747739</v>
      </c>
      <c r="J3" s="8">
        <v>2.9834409938536899</v>
      </c>
      <c r="K3" s="1">
        <v>13.4309734971916</v>
      </c>
      <c r="L3">
        <f>EXP(K3)</f>
        <v>680765.71642221452</v>
      </c>
    </row>
    <row r="4" spans="2:12" x14ac:dyDescent="0.25">
      <c r="B4" s="8">
        <v>5.9838915609969296</v>
      </c>
      <c r="C4" s="1">
        <v>13.263791372172999</v>
      </c>
      <c r="D4">
        <f>EXP(C4)</f>
        <v>575958.77859217767</v>
      </c>
      <c r="F4" s="8">
        <v>5.9953941837208902</v>
      </c>
      <c r="G4" s="1">
        <v>13.3570740018528</v>
      </c>
      <c r="H4">
        <f>EXP(G4)</f>
        <v>632271.3940078977</v>
      </c>
      <c r="J4" s="8">
        <v>5.9718951210723903</v>
      </c>
      <c r="K4" s="1">
        <v>13.3189970264509</v>
      </c>
      <c r="L4">
        <f>EXP(K4)</f>
        <v>608649.00036206911</v>
      </c>
    </row>
    <row r="5" spans="2:12" x14ac:dyDescent="0.25">
      <c r="B5" s="8">
        <v>8.9898813948404008</v>
      </c>
      <c r="C5" s="1">
        <v>13.207715031646501</v>
      </c>
      <c r="D5">
        <f>EXP(C5)</f>
        <v>544549.99299854005</v>
      </c>
      <c r="F5" s="8">
        <v>8.9707515000234999</v>
      </c>
      <c r="G5" s="1">
        <v>13.2279170256735</v>
      </c>
      <c r="H5">
        <f>EXP(G5)</f>
        <v>555662.86181258259</v>
      </c>
      <c r="J5" s="8">
        <v>8.9794618192452091</v>
      </c>
      <c r="K5" s="1">
        <v>13.171965068896901</v>
      </c>
      <c r="L5">
        <f>EXP(K5)</f>
        <v>525426.22476777912</v>
      </c>
    </row>
    <row r="6" spans="2:12" x14ac:dyDescent="0.25">
      <c r="B6" s="8">
        <v>11.997220703979</v>
      </c>
      <c r="C6" s="1">
        <v>12.982507887354901</v>
      </c>
      <c r="D6">
        <f>EXP(C6)</f>
        <v>434741.9376961643</v>
      </c>
      <c r="F6" s="8">
        <v>12.0078956850498</v>
      </c>
      <c r="G6" s="1">
        <v>13.14</v>
      </c>
      <c r="H6">
        <f>EXP(G6)</f>
        <v>508896.53309141297</v>
      </c>
      <c r="J6" s="8">
        <v>11.9993106941623</v>
      </c>
      <c r="K6" s="1">
        <v>13.056334825506401</v>
      </c>
      <c r="L6">
        <f>EXP(K6)</f>
        <v>468052.06818015134</v>
      </c>
    </row>
    <row r="8" spans="2:12" x14ac:dyDescent="0.25">
      <c r="B8" t="s">
        <v>22</v>
      </c>
      <c r="C8" t="s">
        <v>24</v>
      </c>
      <c r="D8" t="s">
        <v>3</v>
      </c>
    </row>
    <row r="9" spans="2:12" x14ac:dyDescent="0.25">
      <c r="B9" s="8">
        <v>-3.16790555312636E-2</v>
      </c>
      <c r="C9">
        <f>AVERAGE(D2,H2,L2)</f>
        <v>802451.96595270466</v>
      </c>
      <c r="D9">
        <f>_xlfn.STDEV.S(D2,H2,L2)/SQRT(3)</f>
        <v>16002.552329548053</v>
      </c>
    </row>
    <row r="10" spans="2:12" x14ac:dyDescent="0.25">
      <c r="B10" s="8">
        <v>2.9811762133799702</v>
      </c>
      <c r="C10">
        <f>AVERAGE(D3,H3,L3)</f>
        <v>728193.09185710491</v>
      </c>
      <c r="D10">
        <f>_xlfn.STDEV.S(D3,H3,L3)/SQRT(3)</f>
        <v>29183.098325616422</v>
      </c>
    </row>
    <row r="11" spans="2:12" x14ac:dyDescent="0.25">
      <c r="B11" s="8">
        <v>5.9838915609969296</v>
      </c>
      <c r="C11">
        <f>AVERAGE(D4,H4,L4)</f>
        <v>605626.39098738146</v>
      </c>
      <c r="D11">
        <f>_xlfn.STDEV.S(D4,H4,L4)/SQRT(3)</f>
        <v>16326.152734326393</v>
      </c>
    </row>
    <row r="12" spans="2:12" x14ac:dyDescent="0.25">
      <c r="B12" s="8">
        <v>8.9898813948404008</v>
      </c>
      <c r="C12">
        <f>AVERAGE(D5,H5,L5)</f>
        <v>541879.69319296721</v>
      </c>
      <c r="D12">
        <f>_xlfn.STDEV.S(D5,H5,L5)/SQRT(3)</f>
        <v>8830.0892923670744</v>
      </c>
    </row>
    <row r="13" spans="2:12" x14ac:dyDescent="0.25">
      <c r="B13" s="8">
        <v>11.997220703979</v>
      </c>
      <c r="C13">
        <f>AVERAGE(D6,H6,L6)</f>
        <v>470563.51298924285</v>
      </c>
      <c r="D13">
        <f>_xlfn.STDEV.S(D6,H6,L6)/SQRT(3)</f>
        <v>21443.386865807788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3CCA-214E-754F-813B-B630C8F7D895}">
  <dimension ref="B1:I44"/>
  <sheetViews>
    <sheetView workbookViewId="0">
      <selection activeCell="B1" sqref="B1:E12"/>
    </sheetView>
  </sheetViews>
  <sheetFormatPr defaultColWidth="11" defaultRowHeight="15.75" x14ac:dyDescent="0.25"/>
  <cols>
    <col min="3" max="3" width="14" customWidth="1"/>
  </cols>
  <sheetData>
    <row r="1" spans="2:5" x14ac:dyDescent="0.25">
      <c r="B1" t="s">
        <v>25</v>
      </c>
      <c r="C1" t="s">
        <v>26</v>
      </c>
      <c r="D1" t="s">
        <v>11</v>
      </c>
      <c r="E1" t="s">
        <v>3</v>
      </c>
    </row>
    <row r="2" spans="2:5" x14ac:dyDescent="0.25">
      <c r="B2" s="8">
        <v>0</v>
      </c>
      <c r="C2" s="1">
        <v>202617.641067427</v>
      </c>
      <c r="D2" s="1">
        <v>211312.55517077399</v>
      </c>
      <c r="E2">
        <f>D2-C2</f>
        <v>8694.9141033469932</v>
      </c>
    </row>
    <row r="3" spans="2:5" x14ac:dyDescent="0.25">
      <c r="B3" s="8">
        <v>1.9617311198541401</v>
      </c>
      <c r="C3" s="1">
        <v>204744.68662999899</v>
      </c>
      <c r="D3" s="1">
        <v>215038.70442045201</v>
      </c>
      <c r="E3">
        <f t="shared" ref="E3:E12" si="0">D3-C3</f>
        <v>10294.017790453014</v>
      </c>
    </row>
    <row r="4" spans="2:5" x14ac:dyDescent="0.25">
      <c r="B4" s="8">
        <v>4.0116687458017397</v>
      </c>
      <c r="C4" s="1">
        <v>196278.94343722399</v>
      </c>
      <c r="D4" s="1">
        <v>200237.65872207499</v>
      </c>
      <c r="E4">
        <f t="shared" si="0"/>
        <v>3958.7152848510013</v>
      </c>
    </row>
    <row r="5" spans="2:5" x14ac:dyDescent="0.25">
      <c r="B5" s="8">
        <v>5.9736301698493399</v>
      </c>
      <c r="C5" s="1">
        <v>152400.35309295799</v>
      </c>
      <c r="D5" s="1">
        <v>169720.58124533101</v>
      </c>
      <c r="E5">
        <f t="shared" si="0"/>
        <v>17320.22815237302</v>
      </c>
    </row>
    <row r="6" spans="2:5" x14ac:dyDescent="0.25">
      <c r="B6" s="8">
        <v>8.0135495633816305</v>
      </c>
      <c r="C6" s="1">
        <v>134426.56345487799</v>
      </c>
      <c r="D6" s="1">
        <v>138198.54688667</v>
      </c>
      <c r="E6">
        <f t="shared" si="0"/>
        <v>3771.9834317920031</v>
      </c>
    </row>
    <row r="7" spans="2:5" x14ac:dyDescent="0.25">
      <c r="B7" s="8">
        <v>10.026062757892699</v>
      </c>
      <c r="C7" s="1">
        <v>143849.73178515601</v>
      </c>
      <c r="D7" s="1">
        <v>147115.84165138801</v>
      </c>
      <c r="E7">
        <f t="shared" si="0"/>
        <v>3266.1098662320001</v>
      </c>
    </row>
    <row r="8" spans="2:5" x14ac:dyDescent="0.25">
      <c r="B8" s="8">
        <v>12.031781978696801</v>
      </c>
      <c r="C8" s="1">
        <v>151264.683913899</v>
      </c>
      <c r="D8" s="1">
        <v>155262.443131662</v>
      </c>
      <c r="E8">
        <f t="shared" si="0"/>
        <v>3997.7592177629995</v>
      </c>
    </row>
    <row r="9" spans="2:5" x14ac:dyDescent="0.25">
      <c r="B9" s="8">
        <v>13.971979656462899</v>
      </c>
      <c r="C9" s="1">
        <v>136207.30630814101</v>
      </c>
      <c r="D9" s="1">
        <v>144187.546682963</v>
      </c>
      <c r="E9">
        <f t="shared" si="0"/>
        <v>7980.2403748219949</v>
      </c>
    </row>
    <row r="10" spans="2:5" x14ac:dyDescent="0.25">
      <c r="B10" s="8">
        <v>16.029862777084698</v>
      </c>
      <c r="C10" s="1">
        <v>129103.008080396</v>
      </c>
      <c r="D10" s="1">
        <v>136353.296665987</v>
      </c>
      <c r="E10">
        <f t="shared" si="0"/>
        <v>7250.288585590999</v>
      </c>
    </row>
    <row r="11" spans="2:5" x14ac:dyDescent="0.25">
      <c r="B11" s="8">
        <v>18.0094424719316</v>
      </c>
      <c r="C11" s="1">
        <v>172351.80281116301</v>
      </c>
      <c r="D11" s="1">
        <v>181999.04936511099</v>
      </c>
      <c r="E11">
        <f t="shared" si="0"/>
        <v>9647.2465539479745</v>
      </c>
    </row>
    <row r="12" spans="2:5" x14ac:dyDescent="0.25">
      <c r="B12" s="8">
        <v>19.975319067268</v>
      </c>
      <c r="C12" s="1">
        <v>182705.235282134</v>
      </c>
      <c r="D12" s="1">
        <v>204140.354451008</v>
      </c>
      <c r="E12">
        <f t="shared" si="0"/>
        <v>21435.119168873993</v>
      </c>
    </row>
    <row r="13" spans="2:5" x14ac:dyDescent="0.25">
      <c r="B13" s="8"/>
      <c r="C13" s="1"/>
      <c r="D13" s="1"/>
    </row>
    <row r="14" spans="2:5" x14ac:dyDescent="0.25">
      <c r="B14" s="8"/>
      <c r="C14" s="1"/>
      <c r="D14" s="1"/>
    </row>
    <row r="34" spans="8:9" x14ac:dyDescent="0.25">
      <c r="H34" s="1">
        <v>4.2606275789271598E-2</v>
      </c>
      <c r="I34" s="1">
        <v>211312.55517077399</v>
      </c>
    </row>
    <row r="35" spans="8:9" x14ac:dyDescent="0.25">
      <c r="H35" s="1">
        <v>2.01896171192783</v>
      </c>
      <c r="I35" s="1">
        <v>215038.70442045201</v>
      </c>
    </row>
    <row r="36" spans="8:9" x14ac:dyDescent="0.25">
      <c r="H36" s="1">
        <v>3.9980807983878699</v>
      </c>
      <c r="I36" s="1">
        <v>200237.65872207499</v>
      </c>
    </row>
    <row r="37" spans="8:9" x14ac:dyDescent="0.25">
      <c r="H37" s="1">
        <v>6.0206122253142604</v>
      </c>
      <c r="I37" s="1">
        <v>169720.58124533101</v>
      </c>
    </row>
    <row r="38" spans="8:9" x14ac:dyDescent="0.25">
      <c r="H38" s="1">
        <v>7.9932827943575404</v>
      </c>
      <c r="I38" s="1">
        <v>138198.54688667</v>
      </c>
    </row>
    <row r="39" spans="8:9" x14ac:dyDescent="0.25">
      <c r="H39" s="1">
        <v>10.019959696766101</v>
      </c>
      <c r="I39" s="1">
        <v>147115.84165138801</v>
      </c>
    </row>
    <row r="40" spans="8:9" x14ac:dyDescent="0.25">
      <c r="H40" s="1">
        <v>12.0297092409557</v>
      </c>
      <c r="I40" s="1">
        <v>155262.443131662</v>
      </c>
    </row>
    <row r="41" spans="8:9" x14ac:dyDescent="0.25">
      <c r="H41" s="1">
        <v>14.063064964974499</v>
      </c>
      <c r="I41" s="1">
        <v>144187.546682963</v>
      </c>
    </row>
    <row r="42" spans="8:9" x14ac:dyDescent="0.25">
      <c r="H42" s="1">
        <v>15.9916322809711</v>
      </c>
      <c r="I42" s="1">
        <v>136353.296665987</v>
      </c>
    </row>
    <row r="43" spans="8:9" x14ac:dyDescent="0.25">
      <c r="H43" s="1">
        <v>18.042836579982701</v>
      </c>
      <c r="I43" s="1">
        <v>181999.04936511099</v>
      </c>
    </row>
    <row r="44" spans="8:9" x14ac:dyDescent="0.25">
      <c r="H44" s="1">
        <v>20.015967757412898</v>
      </c>
      <c r="I44" s="1">
        <v>204140.354451008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BB7A-07C4-4545-907D-AD3D0E6947DA}">
  <dimension ref="A1:D14"/>
  <sheetViews>
    <sheetView workbookViewId="0">
      <selection sqref="A1:D14"/>
    </sheetView>
  </sheetViews>
  <sheetFormatPr defaultColWidth="11" defaultRowHeight="15.75" x14ac:dyDescent="0.25"/>
  <sheetData>
    <row r="1" spans="1:4" x14ac:dyDescent="0.25">
      <c r="A1" t="s">
        <v>27</v>
      </c>
      <c r="B1" t="s">
        <v>28</v>
      </c>
      <c r="C1" t="s">
        <v>11</v>
      </c>
      <c r="D1" t="s">
        <v>3</v>
      </c>
    </row>
    <row r="2" spans="1:4" x14ac:dyDescent="0.25">
      <c r="A2" s="8">
        <v>0</v>
      </c>
      <c r="B2" s="1">
        <v>163711.56808895399</v>
      </c>
      <c r="C2" s="1">
        <v>173785.92002143399</v>
      </c>
      <c r="D2" s="1">
        <f>C2-B2</f>
        <v>10074.35193248</v>
      </c>
    </row>
    <row r="3" spans="1:4" x14ac:dyDescent="0.25">
      <c r="A3" s="8">
        <v>4</v>
      </c>
      <c r="B3" s="1">
        <v>115716.055998392</v>
      </c>
      <c r="C3" s="1">
        <v>162765.42300221001</v>
      </c>
      <c r="D3" s="1">
        <f t="shared" ref="D3:D14" si="0">C3-B3</f>
        <v>47049.367003818013</v>
      </c>
    </row>
    <row r="4" spans="1:4" x14ac:dyDescent="0.25">
      <c r="A4" s="8">
        <v>8</v>
      </c>
      <c r="B4" s="1">
        <v>96829.995311139297</v>
      </c>
      <c r="C4" s="1">
        <v>158803.33578940301</v>
      </c>
      <c r="D4" s="1">
        <f t="shared" si="0"/>
        <v>61973.340478263708</v>
      </c>
    </row>
    <row r="5" spans="1:4" x14ac:dyDescent="0.25">
      <c r="A5" s="8">
        <v>12</v>
      </c>
      <c r="B5" s="1">
        <v>132957.666287092</v>
      </c>
      <c r="C5" s="1">
        <v>146372.83140196899</v>
      </c>
      <c r="D5" s="1">
        <f t="shared" si="0"/>
        <v>13415.165114876989</v>
      </c>
    </row>
    <row r="6" spans="1:4" x14ac:dyDescent="0.25">
      <c r="A6" s="8">
        <v>16</v>
      </c>
      <c r="B6" s="1">
        <v>136419.05017080801</v>
      </c>
      <c r="C6" s="1">
        <v>144924.30839306</v>
      </c>
      <c r="D6" s="1">
        <f t="shared" si="0"/>
        <v>8505.258222251985</v>
      </c>
    </row>
    <row r="7" spans="1:4" x14ac:dyDescent="0.25">
      <c r="A7" s="8">
        <v>20</v>
      </c>
      <c r="B7" s="1">
        <v>124134.235380802</v>
      </c>
      <c r="C7" s="1">
        <v>148372.295532185</v>
      </c>
      <c r="D7" s="1">
        <f t="shared" si="0"/>
        <v>24238.060151383004</v>
      </c>
    </row>
    <row r="8" spans="1:4" x14ac:dyDescent="0.25">
      <c r="A8" s="8">
        <v>24</v>
      </c>
      <c r="B8" s="1">
        <v>75277.982450264506</v>
      </c>
      <c r="C8" s="1">
        <v>124283.274164378</v>
      </c>
      <c r="D8" s="1">
        <f t="shared" si="0"/>
        <v>49005.291714113497</v>
      </c>
    </row>
    <row r="9" spans="1:4" x14ac:dyDescent="0.25">
      <c r="A9" s="8">
        <v>28</v>
      </c>
      <c r="B9" s="1">
        <v>22015.875142340399</v>
      </c>
      <c r="C9" s="1">
        <v>34789.6711099202</v>
      </c>
      <c r="D9" s="1">
        <f t="shared" si="0"/>
        <v>12773.795967579801</v>
      </c>
    </row>
    <row r="10" spans="1:4" x14ac:dyDescent="0.25">
      <c r="A10" s="8">
        <v>32.415671280312402</v>
      </c>
      <c r="B10" s="1">
        <v>29891.4863688123</v>
      </c>
      <c r="C10" s="1">
        <v>33503.583629178102</v>
      </c>
      <c r="D10" s="1">
        <f t="shared" si="0"/>
        <v>3612.097260365801</v>
      </c>
    </row>
    <row r="11" spans="1:4" x14ac:dyDescent="0.25">
      <c r="A11" s="8">
        <v>36.301542805907303</v>
      </c>
      <c r="B11" s="1">
        <v>25514.100073681999</v>
      </c>
      <c r="C11" s="1">
        <v>30802.465001004701</v>
      </c>
      <c r="D11" s="1">
        <f t="shared" si="0"/>
        <v>5288.364927322702</v>
      </c>
    </row>
    <row r="12" spans="1:4" x14ac:dyDescent="0.25">
      <c r="A12" s="8">
        <v>40.178654244519798</v>
      </c>
      <c r="B12" s="1">
        <v>20421.6625360037</v>
      </c>
      <c r="C12" s="1">
        <v>25765.289034764501</v>
      </c>
      <c r="D12" s="1">
        <f t="shared" si="0"/>
        <v>5343.626498760801</v>
      </c>
    </row>
    <row r="13" spans="1:4" x14ac:dyDescent="0.25">
      <c r="A13" s="8">
        <v>44.1575372818996</v>
      </c>
      <c r="B13" s="1">
        <v>18711.903007569101</v>
      </c>
      <c r="C13" s="1">
        <v>26642.775805479199</v>
      </c>
      <c r="D13" s="1">
        <f t="shared" si="0"/>
        <v>7930.8727979100986</v>
      </c>
    </row>
    <row r="14" spans="1:4" x14ac:dyDescent="0.25">
      <c r="A14" s="8">
        <v>48.033360472426303</v>
      </c>
      <c r="B14" s="1">
        <v>23409.1365798111</v>
      </c>
      <c r="C14" s="1">
        <v>25850.693281532502</v>
      </c>
      <c r="D14" s="1">
        <f t="shared" si="0"/>
        <v>2441.5567017214016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34E5-30DC-BB4E-9FE1-CB039E2F3C46}">
  <dimension ref="A1:B8"/>
  <sheetViews>
    <sheetView workbookViewId="0">
      <selection activeCell="A5" sqref="A5"/>
    </sheetView>
  </sheetViews>
  <sheetFormatPr defaultColWidth="11" defaultRowHeight="15.75" x14ac:dyDescent="0.25"/>
  <sheetData>
    <row r="1" spans="1:2" x14ac:dyDescent="0.25">
      <c r="A1" t="s">
        <v>29</v>
      </c>
      <c r="B1" t="s">
        <v>26</v>
      </c>
    </row>
    <row r="2" spans="1:2" x14ac:dyDescent="0.25">
      <c r="A2" s="7">
        <v>-7.8107978113322305E-4</v>
      </c>
      <c r="B2" s="1">
        <v>5615965587.5722599</v>
      </c>
    </row>
    <row r="3" spans="1:2" x14ac:dyDescent="0.25">
      <c r="A3" s="7">
        <v>0.989998067855278</v>
      </c>
      <c r="B3" s="1">
        <v>4503350764.4650202</v>
      </c>
    </row>
    <row r="4" spans="1:2" x14ac:dyDescent="0.25">
      <c r="A4" s="7">
        <v>1.49556223355929</v>
      </c>
      <c r="B4" s="1">
        <v>3941541811.7131</v>
      </c>
    </row>
    <row r="5" spans="1:2" x14ac:dyDescent="0.25">
      <c r="A5" s="7">
        <v>1.98402486300271</v>
      </c>
      <c r="B5" s="1">
        <v>3560037724.85393</v>
      </c>
    </row>
    <row r="6" spans="1:2" x14ac:dyDescent="0.25">
      <c r="A6" s="7">
        <v>2.9776405635284999</v>
      </c>
      <c r="B6" s="1">
        <v>4031061663.2673402</v>
      </c>
    </row>
    <row r="7" spans="1:2" x14ac:dyDescent="0.25">
      <c r="A7" s="7">
        <v>5.0032682022421104</v>
      </c>
      <c r="B7" s="1">
        <v>4122920149.0591698</v>
      </c>
    </row>
    <row r="8" spans="1:2" x14ac:dyDescent="0.25">
      <c r="A8" s="7">
        <v>9.0289122847405796</v>
      </c>
      <c r="B8" s="1">
        <v>3492677391.15766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5CDD-8518-894C-BBCB-99235F8F1B0C}">
  <dimension ref="B1:D6"/>
  <sheetViews>
    <sheetView workbookViewId="0">
      <selection activeCell="X67" sqref="X67"/>
    </sheetView>
  </sheetViews>
  <sheetFormatPr defaultColWidth="11" defaultRowHeight="15.75" x14ac:dyDescent="0.25"/>
  <cols>
    <col min="2" max="2" width="14.625" bestFit="1" customWidth="1"/>
  </cols>
  <sheetData>
    <row r="1" spans="2:4" x14ac:dyDescent="0.25">
      <c r="B1" t="s">
        <v>30</v>
      </c>
      <c r="C1" t="s">
        <v>31</v>
      </c>
    </row>
    <row r="2" spans="2:4" x14ac:dyDescent="0.25">
      <c r="B2" s="10">
        <v>2.0250198420197201</v>
      </c>
      <c r="C2" s="1">
        <v>10827942.7409766</v>
      </c>
      <c r="D2" s="1"/>
    </row>
    <row r="3" spans="2:4" x14ac:dyDescent="0.25">
      <c r="B3" s="10">
        <v>4.0159438052404504</v>
      </c>
      <c r="C3" s="1">
        <v>2000065.79359648</v>
      </c>
      <c r="D3" s="1"/>
    </row>
    <row r="4" spans="2:4" x14ac:dyDescent="0.25">
      <c r="B4" s="10">
        <v>6.0254139828197797</v>
      </c>
      <c r="C4" s="1">
        <v>1258136.9377993499</v>
      </c>
      <c r="D4" s="1"/>
    </row>
    <row r="5" spans="2:4" x14ac:dyDescent="0.25">
      <c r="B5" s="10">
        <v>8.0343172455497101</v>
      </c>
      <c r="C5" s="1">
        <v>833339.55498841801</v>
      </c>
      <c r="D5" s="1"/>
    </row>
    <row r="6" spans="2:4" x14ac:dyDescent="0.25">
      <c r="B6" s="10">
        <v>12.0308239702396</v>
      </c>
      <c r="C6" s="1">
        <v>9767.60291937076</v>
      </c>
      <c r="D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C660-AA40-A54C-AE63-7B26B8B28EC4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798E-72D6-874F-97CB-E1F0685AAE6A}">
  <dimension ref="B1:D13"/>
  <sheetViews>
    <sheetView workbookViewId="0">
      <selection activeCell="D2" activeCellId="1" sqref="B2:B13 D2:D13"/>
    </sheetView>
  </sheetViews>
  <sheetFormatPr defaultColWidth="11" defaultRowHeight="15.75" x14ac:dyDescent="0.25"/>
  <cols>
    <col min="2" max="2" width="8.5" customWidth="1"/>
  </cols>
  <sheetData>
    <row r="1" spans="2:4" x14ac:dyDescent="0.25">
      <c r="B1" t="s">
        <v>32</v>
      </c>
      <c r="C1" t="s">
        <v>33</v>
      </c>
      <c r="D1" t="s">
        <v>34</v>
      </c>
    </row>
    <row r="2" spans="2:4" x14ac:dyDescent="0.25">
      <c r="B2" s="7">
        <v>3.9329918109411799</v>
      </c>
      <c r="C2" s="1">
        <v>-0.57543588855113303</v>
      </c>
      <c r="D2" cm="1">
        <f t="array" ref="D2:D12">EXP(C2:C12)</f>
        <v>0.56245964564584283</v>
      </c>
    </row>
    <row r="3" spans="2:4" x14ac:dyDescent="0.25">
      <c r="B3" s="7">
        <v>4.4321878622443203</v>
      </c>
      <c r="C3" s="1">
        <v>-1.4067348128081101</v>
      </c>
      <c r="D3">
        <v>0.24494175955262207</v>
      </c>
    </row>
    <row r="4" spans="2:4" x14ac:dyDescent="0.25">
      <c r="B4" s="7">
        <v>8.2563661518902105</v>
      </c>
      <c r="C4" s="1">
        <v>-1.81498165094265</v>
      </c>
      <c r="D4">
        <v>0.16284089633972973</v>
      </c>
    </row>
    <row r="5" spans="2:4" x14ac:dyDescent="0.25">
      <c r="B5" s="7">
        <v>14.3734809108925</v>
      </c>
      <c r="C5" s="1">
        <v>-2.1884204060418</v>
      </c>
      <c r="D5">
        <v>0.11209367133350606</v>
      </c>
    </row>
    <row r="6" spans="2:4" x14ac:dyDescent="0.25">
      <c r="B6" s="7">
        <v>19.440601278839299</v>
      </c>
      <c r="C6" s="1">
        <v>-1.75993447890252</v>
      </c>
      <c r="D6">
        <v>0.1720561367606476</v>
      </c>
    </row>
    <row r="7" spans="2:4" x14ac:dyDescent="0.25">
      <c r="B7" s="7">
        <v>22.049882212167599</v>
      </c>
      <c r="C7" s="1">
        <v>-2.1169142083129802</v>
      </c>
      <c r="D7">
        <v>0.12040259317837569</v>
      </c>
    </row>
    <row r="8" spans="2:4" x14ac:dyDescent="0.25">
      <c r="B8" s="7">
        <v>33.027708185319497</v>
      </c>
      <c r="C8" s="1">
        <v>-2.8481202060134501</v>
      </c>
      <c r="D8">
        <v>5.7953158545525185E-2</v>
      </c>
    </row>
    <row r="9" spans="2:4" x14ac:dyDescent="0.25">
      <c r="B9" s="7">
        <v>41.433272258160997</v>
      </c>
      <c r="C9" s="1">
        <v>-3.1850183490573398</v>
      </c>
      <c r="D9">
        <v>4.1377486556131292E-2</v>
      </c>
    </row>
    <row r="10" spans="2:4" x14ac:dyDescent="0.25">
      <c r="B10" s="7">
        <v>51.198444452753897</v>
      </c>
      <c r="C10" s="1">
        <v>-3.19872107857806</v>
      </c>
      <c r="D10">
        <v>4.0814368984601349E-2</v>
      </c>
    </row>
    <row r="11" spans="2:4" x14ac:dyDescent="0.25">
      <c r="B11" s="7">
        <v>60.410574729835801</v>
      </c>
      <c r="C11" s="1">
        <v>-3.85991715361232</v>
      </c>
      <c r="D11">
        <v>2.1069745002999914E-2</v>
      </c>
    </row>
    <row r="12" spans="2:4" x14ac:dyDescent="0.25">
      <c r="B12" s="7">
        <v>88.382380436001895</v>
      </c>
      <c r="C12" s="1">
        <v>-5.0107889307145896</v>
      </c>
      <c r="D12">
        <v>6.6656425012211135E-3</v>
      </c>
    </row>
    <row r="13" spans="2:4" x14ac:dyDescent="0.25">
      <c r="B13" s="7">
        <v>117.035111991923</v>
      </c>
      <c r="C13" s="1">
        <v>-5.6991542108330302</v>
      </c>
      <c r="D13">
        <f>EXP(C13)</f>
        <v>3.3487966359295163E-3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5EB1-82B8-BC48-9E7A-37F13C84B29C}">
  <dimension ref="B1:D21"/>
  <sheetViews>
    <sheetView zoomScale="84" zoomScaleNormal="400" workbookViewId="0">
      <selection activeCell="B1" sqref="B1:D21"/>
    </sheetView>
  </sheetViews>
  <sheetFormatPr defaultColWidth="11" defaultRowHeight="15.75" x14ac:dyDescent="0.25"/>
  <cols>
    <col min="3" max="3" width="13.875" customWidth="1"/>
  </cols>
  <sheetData>
    <row r="1" spans="2:4" x14ac:dyDescent="0.25">
      <c r="B1" t="s">
        <v>50</v>
      </c>
      <c r="C1" t="s">
        <v>51</v>
      </c>
      <c r="D1" t="s">
        <v>6</v>
      </c>
    </row>
    <row r="2" spans="2:4" x14ac:dyDescent="0.25">
      <c r="B2" s="8">
        <v>-2.170573491638E-2</v>
      </c>
      <c r="C2" s="1">
        <v>4.3572466754886401</v>
      </c>
      <c r="D2">
        <f>10^C2</f>
        <v>22763.900333848829</v>
      </c>
    </row>
    <row r="3" spans="2:4" x14ac:dyDescent="0.25">
      <c r="B3" s="8">
        <v>-2.97287716046695E-2</v>
      </c>
      <c r="C3" s="1">
        <v>4.1085862420547903</v>
      </c>
      <c r="D3">
        <f t="shared" ref="D3:D21" si="0">10^C3</f>
        <v>12840.627339099983</v>
      </c>
    </row>
    <row r="4" spans="2:4" x14ac:dyDescent="0.25">
      <c r="B4" s="8">
        <v>-1.5237550299464501E-2</v>
      </c>
      <c r="C4" s="1">
        <v>3.8981929409722902</v>
      </c>
      <c r="D4">
        <f t="shared" si="0"/>
        <v>7910.299753039003</v>
      </c>
    </row>
    <row r="5" spans="2:4" x14ac:dyDescent="0.25">
      <c r="B5" s="8">
        <v>-2.9044636693265E-2</v>
      </c>
      <c r="C5" s="1">
        <v>3.6150617176822699</v>
      </c>
      <c r="D5">
        <f t="shared" si="0"/>
        <v>4121.5608652585643</v>
      </c>
    </row>
    <row r="6" spans="2:4" x14ac:dyDescent="0.25">
      <c r="B6" s="8">
        <v>0.94404398365539499</v>
      </c>
      <c r="C6" s="1">
        <v>4.0132221185760404</v>
      </c>
      <c r="D6">
        <f t="shared" si="0"/>
        <v>10309.132430375817</v>
      </c>
    </row>
    <row r="7" spans="2:4" x14ac:dyDescent="0.25">
      <c r="B7" s="8">
        <v>0.98963224638807801</v>
      </c>
      <c r="C7" s="1">
        <v>3.8539275874785699</v>
      </c>
      <c r="D7">
        <f t="shared" si="0"/>
        <v>7143.7720375279077</v>
      </c>
    </row>
    <row r="8" spans="2:4" x14ac:dyDescent="0.25">
      <c r="B8" s="8">
        <v>0.98129823928551396</v>
      </c>
      <c r="C8" s="1">
        <v>3.6377638458034101</v>
      </c>
      <c r="D8">
        <f t="shared" si="0"/>
        <v>4342.7401688832115</v>
      </c>
    </row>
    <row r="9" spans="2:4" x14ac:dyDescent="0.25">
      <c r="B9" s="8">
        <v>0.97495444283430799</v>
      </c>
      <c r="C9" s="1">
        <v>2.9013493285897098</v>
      </c>
      <c r="D9">
        <f t="shared" si="0"/>
        <v>796.80000582346133</v>
      </c>
    </row>
    <row r="10" spans="2:4" x14ac:dyDescent="0.25">
      <c r="B10" s="8">
        <v>0.96724237656029399</v>
      </c>
      <c r="C10" s="1">
        <v>1.44028895589734</v>
      </c>
      <c r="D10">
        <f t="shared" si="0"/>
        <v>27.560618268895528</v>
      </c>
    </row>
    <row r="11" spans="2:4" x14ac:dyDescent="0.25">
      <c r="B11" s="8">
        <v>0.96344853750614101</v>
      </c>
      <c r="C11" s="1">
        <v>1.6203115170184601</v>
      </c>
      <c r="D11">
        <f t="shared" si="0"/>
        <v>41.716850883017635</v>
      </c>
    </row>
    <row r="12" spans="2:4" x14ac:dyDescent="0.25">
      <c r="B12" s="8">
        <v>3.0046583368058299</v>
      </c>
      <c r="C12" s="1">
        <v>1.47923942989782</v>
      </c>
      <c r="D12">
        <f t="shared" si="0"/>
        <v>30.146675756191673</v>
      </c>
    </row>
    <row r="13" spans="2:4" x14ac:dyDescent="0.25">
      <c r="B13" s="8">
        <v>2.9723796078041098</v>
      </c>
      <c r="C13" s="1">
        <v>1.3380154890773801</v>
      </c>
      <c r="D13">
        <f t="shared" si="0"/>
        <v>21.777874415801236</v>
      </c>
    </row>
    <row r="14" spans="2:4" x14ac:dyDescent="0.25">
      <c r="B14" s="8">
        <v>2.9846940362093899</v>
      </c>
      <c r="C14" s="1">
        <v>1.0636158535262501</v>
      </c>
      <c r="D14">
        <f t="shared" si="0"/>
        <v>11.577528360613469</v>
      </c>
    </row>
    <row r="15" spans="2:4" x14ac:dyDescent="0.25">
      <c r="B15" s="8">
        <v>2.9846940362093899</v>
      </c>
      <c r="C15" s="1">
        <v>0.91411588606633798</v>
      </c>
      <c r="D15">
        <f t="shared" si="0"/>
        <v>8.2057047411672652</v>
      </c>
    </row>
    <row r="16" spans="2:4" x14ac:dyDescent="0.25">
      <c r="B16" s="8">
        <v>2.99638652378612</v>
      </c>
      <c r="C16" s="1">
        <v>0.71761719851617201</v>
      </c>
      <c r="D16">
        <f t="shared" si="0"/>
        <v>5.219359346356498</v>
      </c>
    </row>
    <row r="17" spans="2:4" x14ac:dyDescent="0.25">
      <c r="B17" s="8">
        <v>5.9568870617649399</v>
      </c>
      <c r="C17" s="1">
        <v>0.61268629194958402</v>
      </c>
      <c r="D17">
        <f t="shared" si="0"/>
        <v>4.0990790335920266</v>
      </c>
    </row>
    <row r="18" spans="2:4" x14ac:dyDescent="0.25">
      <c r="B18" s="8">
        <v>5.9947010641407497</v>
      </c>
      <c r="C18" s="1">
        <v>0.38650020608716401</v>
      </c>
      <c r="D18">
        <f t="shared" si="0"/>
        <v>2.4350069554434701</v>
      </c>
    </row>
    <row r="19" spans="2:4" x14ac:dyDescent="0.25">
      <c r="B19" s="8">
        <v>5.9739282404671998</v>
      </c>
      <c r="C19" s="1">
        <v>0.22872421198776499</v>
      </c>
      <c r="D19">
        <f t="shared" si="0"/>
        <v>1.6932621945204818</v>
      </c>
    </row>
    <row r="20" spans="2:4" x14ac:dyDescent="0.25">
      <c r="B20" s="8">
        <v>6.0085081505345501</v>
      </c>
      <c r="C20" s="1">
        <v>4.7334967568388502E-2</v>
      </c>
      <c r="D20">
        <f t="shared" si="0"/>
        <v>1.1151543108308608</v>
      </c>
    </row>
    <row r="21" spans="2:4" x14ac:dyDescent="0.25">
      <c r="B21" s="8">
        <v>9.9822746863863294</v>
      </c>
      <c r="C21" s="1">
        <v>-0.68201835260429</v>
      </c>
      <c r="D21">
        <f t="shared" si="0"/>
        <v>0.20796088042373762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464-C1D6-CC43-9AAD-F88A5D72B1CE}">
  <dimension ref="B1:C21"/>
  <sheetViews>
    <sheetView topLeftCell="A10" workbookViewId="0">
      <selection activeCell="G34" sqref="G34"/>
    </sheetView>
  </sheetViews>
  <sheetFormatPr defaultColWidth="11" defaultRowHeight="15.75" x14ac:dyDescent="0.25"/>
  <sheetData>
    <row r="1" spans="2:3" x14ac:dyDescent="0.25">
      <c r="B1" t="s">
        <v>25</v>
      </c>
      <c r="C1" t="s">
        <v>26</v>
      </c>
    </row>
    <row r="2" spans="2:3" x14ac:dyDescent="0.25">
      <c r="B2" s="7">
        <v>2.4116640041543898E-2</v>
      </c>
      <c r="C2" s="1">
        <v>37810132.2054471</v>
      </c>
    </row>
    <row r="3" spans="2:3" x14ac:dyDescent="0.25">
      <c r="B3" s="7">
        <v>-1.1002116807273699E-3</v>
      </c>
      <c r="C3" s="1">
        <v>37085974.209614098</v>
      </c>
    </row>
    <row r="4" spans="2:3" x14ac:dyDescent="0.25">
      <c r="B4" s="7">
        <v>2.4336682377689399E-2</v>
      </c>
      <c r="C4" s="1">
        <v>36047601.469088398</v>
      </c>
    </row>
    <row r="5" spans="2:3" x14ac:dyDescent="0.25">
      <c r="B5" s="7">
        <v>0.46745793890744503</v>
      </c>
      <c r="C5" s="1">
        <v>28487677.301081698</v>
      </c>
    </row>
    <row r="6" spans="2:3" x14ac:dyDescent="0.25">
      <c r="B6" s="7">
        <v>0.49896800144347703</v>
      </c>
      <c r="C6" s="1">
        <v>27072397.029287901</v>
      </c>
    </row>
    <row r="7" spans="2:3" x14ac:dyDescent="0.25">
      <c r="B7" s="7">
        <v>0.97932042124904795</v>
      </c>
      <c r="C7" s="1">
        <v>19760240.760322001</v>
      </c>
    </row>
    <row r="8" spans="2:3" x14ac:dyDescent="0.25">
      <c r="B8" s="7">
        <v>1.49743210593718</v>
      </c>
      <c r="C8" s="1">
        <v>20327854.4926701</v>
      </c>
    </row>
    <row r="9" spans="2:3" x14ac:dyDescent="0.25">
      <c r="B9" s="7">
        <v>1.49743210593718</v>
      </c>
      <c r="C9" s="1">
        <v>18917829.903583199</v>
      </c>
    </row>
    <row r="10" spans="2:3" x14ac:dyDescent="0.25">
      <c r="B10" s="7">
        <v>1.9889626764189401</v>
      </c>
      <c r="C10" s="1">
        <v>16712695.602119699</v>
      </c>
    </row>
    <row r="11" spans="2:3" x14ac:dyDescent="0.25">
      <c r="B11" s="7">
        <v>1.9824934317362599</v>
      </c>
      <c r="C11" s="1">
        <v>19992241.611242101</v>
      </c>
    </row>
    <row r="12" spans="2:3" x14ac:dyDescent="0.25">
      <c r="B12" s="7">
        <v>2.0041015891457499</v>
      </c>
      <c r="C12" s="1">
        <v>25365801.7731672</v>
      </c>
    </row>
    <row r="13" spans="2:3" x14ac:dyDescent="0.25">
      <c r="B13" s="7">
        <v>2.98927513653627</v>
      </c>
      <c r="C13" s="1">
        <v>20079711.187721699</v>
      </c>
    </row>
    <row r="14" spans="2:3" x14ac:dyDescent="0.25">
      <c r="B14" s="7">
        <v>2.98927513653627</v>
      </c>
      <c r="C14" s="1">
        <v>19266206.585870899</v>
      </c>
    </row>
    <row r="15" spans="2:3" x14ac:dyDescent="0.25">
      <c r="B15" s="7">
        <v>2.98927513653627</v>
      </c>
      <c r="C15" s="1">
        <v>18323937.757700499</v>
      </c>
    </row>
    <row r="16" spans="2:3" x14ac:dyDescent="0.25">
      <c r="B16" s="7">
        <v>4.9799541431771397</v>
      </c>
      <c r="C16" s="1">
        <v>22147071.5210821</v>
      </c>
    </row>
    <row r="17" spans="2:3" x14ac:dyDescent="0.25">
      <c r="B17" s="7">
        <v>4.98347482055547</v>
      </c>
      <c r="C17" s="1">
        <v>19744098.306293599</v>
      </c>
    </row>
    <row r="18" spans="2:3" x14ac:dyDescent="0.25">
      <c r="B18" s="7">
        <v>4.98347482055547</v>
      </c>
      <c r="C18" s="1">
        <v>17879457.163057499</v>
      </c>
    </row>
    <row r="19" spans="2:3" x14ac:dyDescent="0.25">
      <c r="B19" s="7">
        <v>8.9768471453907708</v>
      </c>
      <c r="C19" s="1">
        <v>20211103.255394801</v>
      </c>
    </row>
    <row r="20" spans="2:3" x14ac:dyDescent="0.25">
      <c r="B20" s="7">
        <v>8.9881573214686501</v>
      </c>
      <c r="C20" s="1">
        <v>19099526.362879802</v>
      </c>
    </row>
    <row r="21" spans="2:3" x14ac:dyDescent="0.25">
      <c r="B21" s="7">
        <v>8.9881573214686501</v>
      </c>
      <c r="C21" s="1">
        <v>18188416.225043301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67EF-F7F5-BA4B-8AEE-1762B4AA2039}">
  <dimension ref="A2:H25"/>
  <sheetViews>
    <sheetView workbookViewId="0">
      <selection activeCell="F16" activeCellId="1" sqref="B16:B25 F16:G25"/>
    </sheetView>
  </sheetViews>
  <sheetFormatPr defaultColWidth="11" defaultRowHeight="15.75" x14ac:dyDescent="0.25"/>
  <cols>
    <col min="4" max="4" width="10.875" customWidth="1"/>
    <col min="8" max="8" width="10.875" customWidth="1"/>
  </cols>
  <sheetData>
    <row r="2" spans="1:8" x14ac:dyDescent="0.25">
      <c r="B2" t="s">
        <v>35</v>
      </c>
      <c r="C2" t="s">
        <v>36</v>
      </c>
      <c r="D2" t="s">
        <v>36</v>
      </c>
      <c r="E2" t="s">
        <v>36</v>
      </c>
      <c r="F2" s="11"/>
      <c r="G2" s="11" t="s">
        <v>3</v>
      </c>
      <c r="H2" s="11"/>
    </row>
    <row r="3" spans="1:8" x14ac:dyDescent="0.25">
      <c r="A3" t="s">
        <v>38</v>
      </c>
      <c r="B3">
        <v>0</v>
      </c>
      <c r="C3" s="12">
        <v>52000000</v>
      </c>
      <c r="D3" s="12">
        <v>320000000</v>
      </c>
      <c r="E3" s="12">
        <v>260000000</v>
      </c>
      <c r="F3" s="13">
        <f>AVERAGE(C3:E3)</f>
        <v>210666666.66666666</v>
      </c>
      <c r="G3" s="13">
        <f>_xlfn.STDEV.S(C3:E3)/SQRT(3)</f>
        <v>81202079.885787278</v>
      </c>
      <c r="H3" s="13"/>
    </row>
    <row r="4" spans="1:8" x14ac:dyDescent="0.25">
      <c r="A4" t="s">
        <v>39</v>
      </c>
      <c r="B4">
        <v>24</v>
      </c>
      <c r="C4" s="12">
        <v>1910000</v>
      </c>
      <c r="D4" s="12">
        <v>890000</v>
      </c>
      <c r="E4" s="12">
        <v>710000</v>
      </c>
      <c r="F4" s="13">
        <f t="shared" ref="F4:F15" si="0">AVERAGE(C4:E4)</f>
        <v>1170000</v>
      </c>
      <c r="G4" s="13">
        <f t="shared" ref="G4:G25" si="1">_xlfn.STDEV.S(C4:E4)/SQRT(3)</f>
        <v>373630.83384538814</v>
      </c>
      <c r="H4" s="13"/>
    </row>
    <row r="5" spans="1:8" x14ac:dyDescent="0.25">
      <c r="A5" t="s">
        <v>40</v>
      </c>
      <c r="B5">
        <v>48</v>
      </c>
      <c r="C5" s="12">
        <v>1185000</v>
      </c>
      <c r="D5" s="12">
        <v>1000000</v>
      </c>
      <c r="E5" s="12">
        <v>730000</v>
      </c>
      <c r="F5" s="13">
        <f t="shared" si="0"/>
        <v>971666.66666666663</v>
      </c>
      <c r="G5" s="13">
        <f t="shared" si="1"/>
        <v>132108.9617617887</v>
      </c>
      <c r="H5" s="11"/>
    </row>
    <row r="6" spans="1:8" x14ac:dyDescent="0.25">
      <c r="A6" t="s">
        <v>41</v>
      </c>
      <c r="B6">
        <v>72</v>
      </c>
      <c r="C6" s="12">
        <v>2780000</v>
      </c>
      <c r="D6" s="12">
        <v>10500000</v>
      </c>
      <c r="E6" s="12">
        <v>7800000</v>
      </c>
      <c r="F6" s="13">
        <f t="shared" si="0"/>
        <v>7026666.666666667</v>
      </c>
      <c r="G6" s="13">
        <f t="shared" si="1"/>
        <v>2261867.4683642369</v>
      </c>
      <c r="H6" s="13"/>
    </row>
    <row r="7" spans="1:8" x14ac:dyDescent="0.25">
      <c r="A7" t="s">
        <v>37</v>
      </c>
      <c r="B7">
        <v>144</v>
      </c>
      <c r="C7" s="12">
        <v>290000</v>
      </c>
      <c r="D7" s="12">
        <v>305000</v>
      </c>
      <c r="E7" s="12">
        <v>255000</v>
      </c>
      <c r="F7" s="13">
        <f t="shared" si="0"/>
        <v>283333.33333333331</v>
      </c>
      <c r="G7" s="13">
        <f t="shared" si="1"/>
        <v>14813.657362192651</v>
      </c>
      <c r="H7" s="13"/>
    </row>
    <row r="8" spans="1:8" x14ac:dyDescent="0.25">
      <c r="A8" t="s">
        <v>42</v>
      </c>
      <c r="B8">
        <v>264</v>
      </c>
      <c r="C8" s="12">
        <v>215000</v>
      </c>
      <c r="E8" s="12">
        <v>155000</v>
      </c>
      <c r="F8" s="13">
        <f t="shared" si="0"/>
        <v>185000</v>
      </c>
      <c r="G8" s="13">
        <f t="shared" si="1"/>
        <v>24494.89742783178</v>
      </c>
      <c r="H8" s="13"/>
    </row>
    <row r="9" spans="1:8" x14ac:dyDescent="0.25">
      <c r="A9" t="s">
        <v>43</v>
      </c>
      <c r="B9">
        <v>432</v>
      </c>
      <c r="F9" s="13" t="e">
        <f t="shared" si="0"/>
        <v>#DIV/0!</v>
      </c>
      <c r="G9" s="13" t="e">
        <f t="shared" si="1"/>
        <v>#DIV/0!</v>
      </c>
      <c r="H9" s="11"/>
    </row>
    <row r="10" spans="1:8" x14ac:dyDescent="0.25">
      <c r="A10" t="s">
        <v>44</v>
      </c>
      <c r="B10">
        <v>504</v>
      </c>
      <c r="C10" s="12">
        <v>85000</v>
      </c>
      <c r="D10" s="12">
        <v>51000</v>
      </c>
      <c r="E10" s="12">
        <v>100</v>
      </c>
      <c r="F10" s="13">
        <f t="shared" si="0"/>
        <v>45366.666666666664</v>
      </c>
      <c r="G10" s="13">
        <f t="shared" si="1"/>
        <v>24669.842137944685</v>
      </c>
      <c r="H10" s="13"/>
    </row>
    <row r="11" spans="1:8" x14ac:dyDescent="0.25">
      <c r="A11" t="s">
        <v>45</v>
      </c>
      <c r="B11">
        <v>600</v>
      </c>
      <c r="C11" s="12">
        <v>50000</v>
      </c>
      <c r="D11" s="12">
        <v>50500</v>
      </c>
      <c r="E11" s="12">
        <v>36600</v>
      </c>
      <c r="F11" s="13">
        <f t="shared" si="0"/>
        <v>45700</v>
      </c>
      <c r="G11" s="13">
        <f t="shared" si="1"/>
        <v>4552.2888016176357</v>
      </c>
      <c r="H11" s="13"/>
    </row>
    <row r="12" spans="1:8" x14ac:dyDescent="0.25">
      <c r="A12" t="s">
        <v>46</v>
      </c>
      <c r="B12">
        <v>744</v>
      </c>
      <c r="F12" s="13" t="e">
        <f t="shared" si="0"/>
        <v>#DIV/0!</v>
      </c>
      <c r="G12" s="13" t="e">
        <f t="shared" si="1"/>
        <v>#DIV/0!</v>
      </c>
    </row>
    <row r="13" spans="1:8" x14ac:dyDescent="0.25">
      <c r="A13" t="s">
        <v>47</v>
      </c>
      <c r="B13">
        <v>984</v>
      </c>
      <c r="C13" s="12">
        <v>3950</v>
      </c>
      <c r="D13" s="12">
        <v>40000</v>
      </c>
      <c r="E13" s="12">
        <v>20500</v>
      </c>
      <c r="F13" s="13">
        <f t="shared" si="0"/>
        <v>21483.333333333332</v>
      </c>
      <c r="G13" s="13">
        <f t="shared" si="1"/>
        <v>10418.346531213312</v>
      </c>
    </row>
    <row r="14" spans="1:8" x14ac:dyDescent="0.25">
      <c r="A14" t="s">
        <v>48</v>
      </c>
      <c r="B14">
        <v>1200</v>
      </c>
      <c r="C14" s="12">
        <v>10050</v>
      </c>
      <c r="D14" s="12">
        <v>1850</v>
      </c>
      <c r="E14" s="12">
        <v>4950</v>
      </c>
      <c r="F14" s="13">
        <f t="shared" si="0"/>
        <v>5616.666666666667</v>
      </c>
      <c r="G14" s="13">
        <f t="shared" si="1"/>
        <v>2390.4904192329336</v>
      </c>
    </row>
    <row r="15" spans="1:8" x14ac:dyDescent="0.25">
      <c r="A15" t="s">
        <v>49</v>
      </c>
      <c r="B15">
        <v>1272</v>
      </c>
      <c r="C15" s="12">
        <v>4250</v>
      </c>
      <c r="F15" s="13">
        <f t="shared" si="0"/>
        <v>4250</v>
      </c>
      <c r="G15" s="13" t="e">
        <f t="shared" si="1"/>
        <v>#DIV/0!</v>
      </c>
    </row>
    <row r="16" spans="1:8" x14ac:dyDescent="0.25">
      <c r="B16" t="s">
        <v>35</v>
      </c>
      <c r="F16" t="s">
        <v>59</v>
      </c>
      <c r="G16" s="13" t="s">
        <v>3</v>
      </c>
    </row>
    <row r="17" spans="1:7" x14ac:dyDescent="0.25">
      <c r="A17" t="s">
        <v>38</v>
      </c>
      <c r="B17">
        <v>0</v>
      </c>
      <c r="C17" s="12">
        <v>52000000</v>
      </c>
      <c r="D17" s="12">
        <v>320000000</v>
      </c>
      <c r="E17" s="12">
        <v>260000000</v>
      </c>
      <c r="F17" s="13">
        <f>AVERAGE(C17:E17)</f>
        <v>210666666.66666666</v>
      </c>
      <c r="G17" s="13">
        <f t="shared" si="1"/>
        <v>81202079.885787278</v>
      </c>
    </row>
    <row r="18" spans="1:7" x14ac:dyDescent="0.25">
      <c r="A18" t="s">
        <v>39</v>
      </c>
      <c r="B18">
        <v>24</v>
      </c>
      <c r="C18" s="12">
        <v>1910000</v>
      </c>
      <c r="D18" s="12">
        <v>890000</v>
      </c>
      <c r="E18" s="12">
        <v>710000</v>
      </c>
      <c r="F18" s="13">
        <f t="shared" ref="F18:F25" si="2">AVERAGE(C18:E18)</f>
        <v>1170000</v>
      </c>
      <c r="G18" s="13">
        <f t="shared" si="1"/>
        <v>373630.83384538814</v>
      </c>
    </row>
    <row r="19" spans="1:7" x14ac:dyDescent="0.25">
      <c r="A19" t="s">
        <v>40</v>
      </c>
      <c r="B19">
        <v>48</v>
      </c>
      <c r="C19" s="12">
        <v>1185000</v>
      </c>
      <c r="D19" s="12">
        <v>1000000</v>
      </c>
      <c r="E19" s="12">
        <v>730000</v>
      </c>
      <c r="F19" s="13">
        <f t="shared" si="2"/>
        <v>971666.66666666663</v>
      </c>
      <c r="G19" s="13">
        <f t="shared" si="1"/>
        <v>132108.9617617887</v>
      </c>
    </row>
    <row r="20" spans="1:7" x14ac:dyDescent="0.25">
      <c r="A20" t="s">
        <v>41</v>
      </c>
      <c r="B20">
        <v>72</v>
      </c>
      <c r="C20" s="12">
        <v>2780000</v>
      </c>
      <c r="D20" s="12">
        <v>10500000</v>
      </c>
      <c r="E20" s="12">
        <v>7800000</v>
      </c>
      <c r="F20" s="13">
        <f t="shared" si="2"/>
        <v>7026666.666666667</v>
      </c>
      <c r="G20" s="13">
        <f t="shared" si="1"/>
        <v>2261867.4683642369</v>
      </c>
    </row>
    <row r="21" spans="1:7" x14ac:dyDescent="0.25">
      <c r="A21" t="s">
        <v>37</v>
      </c>
      <c r="B21">
        <v>144</v>
      </c>
      <c r="C21" s="12">
        <v>290000</v>
      </c>
      <c r="D21" s="12">
        <v>305000</v>
      </c>
      <c r="E21" s="12">
        <v>255000</v>
      </c>
      <c r="F21" s="13">
        <f t="shared" si="2"/>
        <v>283333.33333333331</v>
      </c>
      <c r="G21" s="13">
        <f t="shared" si="1"/>
        <v>14813.657362192651</v>
      </c>
    </row>
    <row r="22" spans="1:7" x14ac:dyDescent="0.25">
      <c r="A22" t="s">
        <v>44</v>
      </c>
      <c r="B22">
        <v>504</v>
      </c>
      <c r="C22" s="12">
        <v>85000</v>
      </c>
      <c r="D22" s="12">
        <v>51000</v>
      </c>
      <c r="E22" s="12">
        <v>100</v>
      </c>
      <c r="F22" s="13">
        <f t="shared" si="2"/>
        <v>45366.666666666664</v>
      </c>
      <c r="G22" s="13">
        <f t="shared" si="1"/>
        <v>24669.842137944685</v>
      </c>
    </row>
    <row r="23" spans="1:7" x14ac:dyDescent="0.25">
      <c r="A23" t="s">
        <v>45</v>
      </c>
      <c r="B23">
        <v>600</v>
      </c>
      <c r="C23" s="12">
        <v>50000</v>
      </c>
      <c r="D23" s="12">
        <v>50500</v>
      </c>
      <c r="E23" s="12">
        <v>36600</v>
      </c>
      <c r="F23" s="13">
        <f t="shared" si="2"/>
        <v>45700</v>
      </c>
      <c r="G23" s="13">
        <f t="shared" si="1"/>
        <v>4552.2888016176357</v>
      </c>
    </row>
    <row r="24" spans="1:7" x14ac:dyDescent="0.25">
      <c r="A24" t="s">
        <v>47</v>
      </c>
      <c r="B24">
        <v>984</v>
      </c>
      <c r="C24" s="12">
        <v>3950</v>
      </c>
      <c r="D24" s="12">
        <v>40000</v>
      </c>
      <c r="E24" s="12">
        <v>20500</v>
      </c>
      <c r="F24" s="13">
        <f t="shared" si="2"/>
        <v>21483.333333333332</v>
      </c>
      <c r="G24" s="13">
        <f t="shared" si="1"/>
        <v>10418.346531213312</v>
      </c>
    </row>
    <row r="25" spans="1:7" x14ac:dyDescent="0.25">
      <c r="A25" t="s">
        <v>48</v>
      </c>
      <c r="B25">
        <v>1200</v>
      </c>
      <c r="C25" s="12">
        <v>10050</v>
      </c>
      <c r="D25" s="12">
        <v>1850</v>
      </c>
      <c r="E25" s="12">
        <v>4950</v>
      </c>
      <c r="F25" s="13">
        <f t="shared" si="2"/>
        <v>5616.666666666667</v>
      </c>
      <c r="G25" s="13">
        <f t="shared" si="1"/>
        <v>2390.4904192329336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9C46-36B4-134E-91C7-B8584C5154DD}">
  <dimension ref="B1:D17"/>
  <sheetViews>
    <sheetView workbookViewId="0">
      <selection activeCell="B1" sqref="B1:D17"/>
    </sheetView>
  </sheetViews>
  <sheetFormatPr defaultColWidth="11" defaultRowHeight="15.75" x14ac:dyDescent="0.25"/>
  <cols>
    <col min="2" max="2" width="16.875" bestFit="1" customWidth="1"/>
    <col min="3" max="3" width="11" bestFit="1" customWidth="1"/>
    <col min="4" max="4" width="16.875" bestFit="1" customWidth="1"/>
  </cols>
  <sheetData>
    <row r="1" spans="2:4" x14ac:dyDescent="0.25">
      <c r="B1" t="s">
        <v>52</v>
      </c>
      <c r="C1" t="s">
        <v>53</v>
      </c>
      <c r="D1" t="s">
        <v>54</v>
      </c>
    </row>
    <row r="2" spans="2:4" x14ac:dyDescent="0.25">
      <c r="B2" s="7">
        <v>0</v>
      </c>
      <c r="C2" s="1">
        <v>6.4041838726853202</v>
      </c>
      <c r="D2" s="2">
        <f>10^C2</f>
        <v>2536202.1868524831</v>
      </c>
    </row>
    <row r="3" spans="2:4" x14ac:dyDescent="0.25">
      <c r="B3" s="7">
        <v>4.7938660228101604</v>
      </c>
      <c r="C3" s="1">
        <v>6.337762527362</v>
      </c>
      <c r="D3" s="2">
        <f t="shared" ref="D3:D17" si="0">10^C3</f>
        <v>2176519.3240659884</v>
      </c>
    </row>
    <row r="4" spans="2:4" x14ac:dyDescent="0.25">
      <c r="B4" s="7">
        <v>11.9917896986728</v>
      </c>
      <c r="C4" s="1">
        <v>6.3524723421877702</v>
      </c>
      <c r="D4" s="2">
        <f t="shared" si="0"/>
        <v>2251502.0264742225</v>
      </c>
    </row>
    <row r="5" spans="2:4" x14ac:dyDescent="0.25">
      <c r="B5" s="7">
        <v>20.2136261598746</v>
      </c>
      <c r="C5" s="1">
        <v>6.35003727149026</v>
      </c>
      <c r="D5" s="2">
        <f t="shared" si="0"/>
        <v>2238913.2756024362</v>
      </c>
    </row>
    <row r="6" spans="2:4" x14ac:dyDescent="0.25">
      <c r="B6" s="7">
        <v>28.368287428400102</v>
      </c>
      <c r="C6" s="1">
        <v>6.3578962314382004</v>
      </c>
      <c r="D6" s="2">
        <f t="shared" si="0"/>
        <v>2279797.2814035169</v>
      </c>
    </row>
    <row r="7" spans="2:4" x14ac:dyDescent="0.25">
      <c r="B7" s="7">
        <v>35.315830840651103</v>
      </c>
      <c r="C7" s="1">
        <v>6.2751819203691603</v>
      </c>
      <c r="D7" s="2">
        <f t="shared" si="0"/>
        <v>1884438.2911327574</v>
      </c>
    </row>
    <row r="8" spans="2:4" x14ac:dyDescent="0.25">
      <c r="B8" s="7">
        <v>44.148350871637703</v>
      </c>
      <c r="C8" s="1">
        <v>6.36148849316689</v>
      </c>
      <c r="D8" s="2">
        <f t="shared" si="0"/>
        <v>2298732.8024686393</v>
      </c>
    </row>
    <row r="9" spans="2:4" x14ac:dyDescent="0.25">
      <c r="B9" s="7">
        <v>50.911671407003602</v>
      </c>
      <c r="C9" s="1">
        <v>6.2380240194048397</v>
      </c>
      <c r="D9" s="2">
        <f t="shared" si="0"/>
        <v>1729912.0323358928</v>
      </c>
    </row>
    <row r="10" spans="2:4" x14ac:dyDescent="0.25">
      <c r="B10" s="7">
        <v>62.287688506143503</v>
      </c>
      <c r="C10" s="1">
        <v>6.22514583210081</v>
      </c>
      <c r="D10" s="2">
        <f t="shared" si="0"/>
        <v>1679367.8397605522</v>
      </c>
    </row>
    <row r="11" spans="2:4" x14ac:dyDescent="0.25">
      <c r="B11" s="7">
        <v>74.017902075758599</v>
      </c>
      <c r="C11" s="1">
        <v>6.0746258060699203</v>
      </c>
      <c r="D11" s="2">
        <f t="shared" si="0"/>
        <v>1187478.6390652177</v>
      </c>
    </row>
    <row r="12" spans="2:4" x14ac:dyDescent="0.25">
      <c r="B12" s="7">
        <v>85.101808867351593</v>
      </c>
      <c r="C12" s="1">
        <v>5.98886588179613</v>
      </c>
      <c r="D12" s="2">
        <f t="shared" si="0"/>
        <v>974688.58929201262</v>
      </c>
    </row>
    <row r="13" spans="2:4" x14ac:dyDescent="0.25">
      <c r="B13" s="7">
        <v>97.111919073118003</v>
      </c>
      <c r="C13" s="1">
        <v>5.8703709400698099</v>
      </c>
      <c r="D13" s="2">
        <f t="shared" si="0"/>
        <v>741943.68047959718</v>
      </c>
    </row>
    <row r="14" spans="2:4" x14ac:dyDescent="0.25">
      <c r="B14" s="7">
        <v>110.43703456582</v>
      </c>
      <c r="C14" s="1">
        <v>5.9822280068626803</v>
      </c>
      <c r="D14" s="2">
        <f t="shared" si="0"/>
        <v>959904.45408250787</v>
      </c>
    </row>
    <row r="15" spans="2:4" x14ac:dyDescent="0.25">
      <c r="B15" s="7">
        <v>120.94995221966499</v>
      </c>
      <c r="C15" s="1">
        <v>5.9576501212802402</v>
      </c>
      <c r="D15" s="2">
        <f t="shared" si="0"/>
        <v>907089.46131084289</v>
      </c>
    </row>
    <row r="16" spans="2:4" x14ac:dyDescent="0.25">
      <c r="B16" s="7">
        <v>133.16158800346</v>
      </c>
      <c r="C16" s="1">
        <v>5.9785150564988401</v>
      </c>
      <c r="D16" s="2">
        <f t="shared" si="0"/>
        <v>951732.8430429952</v>
      </c>
    </row>
    <row r="17" spans="2:4" x14ac:dyDescent="0.25">
      <c r="B17" s="7">
        <v>155.53703400037301</v>
      </c>
      <c r="C17" s="1">
        <v>5.9318582500147903</v>
      </c>
      <c r="D17" s="2">
        <f t="shared" si="0"/>
        <v>854787.67200146383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1518-7D80-0943-84BB-5F7B1B25DE0F}">
  <dimension ref="B1:E10"/>
  <sheetViews>
    <sheetView workbookViewId="0">
      <selection activeCell="B1" sqref="B1:E10"/>
    </sheetView>
  </sheetViews>
  <sheetFormatPr defaultColWidth="11" defaultRowHeight="15.75" x14ac:dyDescent="0.25"/>
  <sheetData>
    <row r="1" spans="2:5" x14ac:dyDescent="0.25">
      <c r="B1" t="s">
        <v>29</v>
      </c>
      <c r="C1" t="s">
        <v>26</v>
      </c>
      <c r="D1" t="s">
        <v>11</v>
      </c>
      <c r="E1" t="s">
        <v>3</v>
      </c>
    </row>
    <row r="2" spans="2:5" x14ac:dyDescent="0.25">
      <c r="B2" s="1">
        <v>0.30149250851414799</v>
      </c>
      <c r="C2" s="1">
        <v>41282087.019258298</v>
      </c>
      <c r="D2" s="1">
        <v>38994285.620588101</v>
      </c>
      <c r="E2">
        <f>C2-D2</f>
        <v>2287801.3986701965</v>
      </c>
    </row>
    <row r="3" spans="2:5" x14ac:dyDescent="0.25">
      <c r="B3" s="1">
        <v>0.59948770392953199</v>
      </c>
      <c r="C3" s="1">
        <v>27047379.338050202</v>
      </c>
      <c r="D3" s="1">
        <v>20569716.248677898</v>
      </c>
      <c r="E3">
        <f t="shared" ref="E3:E10" si="0">C3-D3</f>
        <v>6477663.0893723033</v>
      </c>
    </row>
    <row r="4" spans="2:5" x14ac:dyDescent="0.25">
      <c r="B4" s="1">
        <v>0.99022199496386898</v>
      </c>
      <c r="C4" s="1">
        <v>32230083.707049899</v>
      </c>
      <c r="D4" s="1">
        <v>30132488.337582897</v>
      </c>
      <c r="E4">
        <f t="shared" si="0"/>
        <v>2097595.3694670014</v>
      </c>
    </row>
    <row r="5" spans="2:5" x14ac:dyDescent="0.25">
      <c r="B5" s="1">
        <v>1.97803204985962</v>
      </c>
      <c r="C5" s="1">
        <v>32183761.980110299</v>
      </c>
      <c r="D5" s="1">
        <v>30540365.490723297</v>
      </c>
      <c r="E5">
        <f t="shared" si="0"/>
        <v>1643396.4893870018</v>
      </c>
    </row>
    <row r="6" spans="2:5" x14ac:dyDescent="0.25">
      <c r="B6" s="1">
        <v>4.0029763340440496</v>
      </c>
      <c r="C6" s="1">
        <v>27210120.272519302</v>
      </c>
      <c r="D6" s="1">
        <v>22485304.124683298</v>
      </c>
      <c r="E6">
        <f t="shared" si="0"/>
        <v>4724816.1478360035</v>
      </c>
    </row>
    <row r="7" spans="2:5" x14ac:dyDescent="0.25">
      <c r="B7" s="1">
        <v>6.9912494814328801</v>
      </c>
      <c r="C7" s="1">
        <v>23251457.289728001</v>
      </c>
      <c r="D7" s="1">
        <v>20070015.4952325</v>
      </c>
      <c r="E7">
        <f t="shared" si="0"/>
        <v>3181441.7944955006</v>
      </c>
    </row>
    <row r="8" spans="2:5" x14ac:dyDescent="0.25">
      <c r="B8" s="1">
        <v>16.027462349615501</v>
      </c>
      <c r="C8" s="1">
        <v>19395276.003705699</v>
      </c>
      <c r="D8" s="1">
        <v>18243381.732022602</v>
      </c>
      <c r="E8">
        <f t="shared" si="0"/>
        <v>1151894.2716830969</v>
      </c>
    </row>
    <row r="9" spans="2:5" x14ac:dyDescent="0.25">
      <c r="B9" s="1">
        <v>20.982793219554001</v>
      </c>
      <c r="C9" s="1">
        <v>13141432.940076901</v>
      </c>
      <c r="D9" s="1">
        <v>10119452.6657538</v>
      </c>
      <c r="E9">
        <f t="shared" si="0"/>
        <v>3021980.2743231002</v>
      </c>
    </row>
    <row r="10" spans="2:5" x14ac:dyDescent="0.25">
      <c r="B10" s="1">
        <v>22.0130534196486</v>
      </c>
      <c r="C10" s="1">
        <v>13211940.3474539</v>
      </c>
      <c r="D10" s="1">
        <v>10222344.289309898</v>
      </c>
      <c r="E10">
        <f t="shared" si="0"/>
        <v>2989596.0581440013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F269-BE16-0542-AC71-293A8592CEC0}">
  <dimension ref="A1:F7"/>
  <sheetViews>
    <sheetView zoomScale="106" workbookViewId="0">
      <selection activeCell="G6" sqref="G6"/>
    </sheetView>
  </sheetViews>
  <sheetFormatPr defaultColWidth="11" defaultRowHeight="15.75" x14ac:dyDescent="0.25"/>
  <cols>
    <col min="1" max="2" width="12.625" bestFit="1" customWidth="1"/>
  </cols>
  <sheetData>
    <row r="1" spans="1:6" x14ac:dyDescent="0.25">
      <c r="A1" t="s">
        <v>29</v>
      </c>
      <c r="B1" t="s">
        <v>55</v>
      </c>
      <c r="C1" t="s">
        <v>56</v>
      </c>
      <c r="D1" t="s">
        <v>57</v>
      </c>
      <c r="E1" t="s">
        <v>11</v>
      </c>
      <c r="F1" t="s">
        <v>58</v>
      </c>
    </row>
    <row r="2" spans="1:6" x14ac:dyDescent="0.25">
      <c r="A2" s="6">
        <v>0</v>
      </c>
      <c r="B2" s="5">
        <v>11.9148753806247</v>
      </c>
      <c r="C2" cm="1">
        <f t="array" ref="C2:C7">EXP(B2:B7)</f>
        <v>149473.64679035495</v>
      </c>
      <c r="D2" s="1">
        <v>12.1606405774219</v>
      </c>
      <c r="E2">
        <f t="shared" ref="E2:E7" si="0">EXP(D2)</f>
        <v>191116.90300618528</v>
      </c>
      <c r="F2">
        <f t="shared" ref="F2:F7" si="1">E2-C2</f>
        <v>41643.256215830334</v>
      </c>
    </row>
    <row r="3" spans="1:6" x14ac:dyDescent="0.25">
      <c r="A3" s="6">
        <v>0.28591631567620701</v>
      </c>
      <c r="B3" s="5">
        <v>11.794428780872799</v>
      </c>
      <c r="C3">
        <v>132512.03902843455</v>
      </c>
      <c r="D3" s="1">
        <v>12.151708582384099</v>
      </c>
      <c r="E3">
        <f t="shared" si="0"/>
        <v>189417.4488336111</v>
      </c>
      <c r="F3">
        <f t="shared" si="1"/>
        <v>56905.409805176547</v>
      </c>
    </row>
    <row r="4" spans="1:6" x14ac:dyDescent="0.25">
      <c r="A4" s="6">
        <v>0.63447289943738905</v>
      </c>
      <c r="B4" s="5">
        <v>11.401556332468701</v>
      </c>
      <c r="C4">
        <v>89460.845891406498</v>
      </c>
      <c r="D4" s="1">
        <v>11.650840193977601</v>
      </c>
      <c r="E4">
        <f t="shared" si="0"/>
        <v>114787.76654329225</v>
      </c>
      <c r="F4">
        <f t="shared" si="1"/>
        <v>25326.920651885754</v>
      </c>
    </row>
    <row r="5" spans="1:6" x14ac:dyDescent="0.25">
      <c r="A5" s="6">
        <v>4.0295370000307402</v>
      </c>
      <c r="B5" s="5">
        <v>9.1075222735987307</v>
      </c>
      <c r="C5">
        <v>9022.9108676752094</v>
      </c>
      <c r="D5" s="1">
        <v>10.1343295364835</v>
      </c>
      <c r="E5">
        <f t="shared" si="0"/>
        <v>25193.203543865548</v>
      </c>
      <c r="F5">
        <f t="shared" si="1"/>
        <v>16170.292676190338</v>
      </c>
    </row>
    <row r="6" spans="1:6" x14ac:dyDescent="0.25">
      <c r="A6" s="6">
        <v>7.9795247025547997</v>
      </c>
      <c r="B6" s="5">
        <v>6.4548550806360598</v>
      </c>
      <c r="C6">
        <v>635.78158251367825</v>
      </c>
      <c r="D6" s="1">
        <v>6.7892635615202401</v>
      </c>
      <c r="E6">
        <f t="shared" si="0"/>
        <v>888.25917266678005</v>
      </c>
      <c r="F6">
        <f t="shared" si="1"/>
        <v>252.4775901531018</v>
      </c>
    </row>
    <row r="7" spans="1:6" x14ac:dyDescent="0.25">
      <c r="A7" s="6">
        <v>24.0211977741568</v>
      </c>
      <c r="B7" s="5">
        <v>4.5903687831284499</v>
      </c>
      <c r="C7">
        <v>98.530759944530033</v>
      </c>
      <c r="D7" s="1">
        <v>4.8937859478966903</v>
      </c>
      <c r="E7">
        <f t="shared" si="0"/>
        <v>133.45788339740159</v>
      </c>
      <c r="F7">
        <f t="shared" si="1"/>
        <v>34.927123452871555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69A6-497A-3546-B34C-8DA026B715E8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Blazanin et. al 2022 PFU</vt:lpstr>
      <vt:lpstr>Moebus 1992 (RSW)</vt:lpstr>
      <vt:lpstr>Suttle et. al 1992 (B)</vt:lpstr>
      <vt:lpstr>Boixereu et. al 2002 (A)</vt:lpstr>
      <vt:lpstr>Chen et. al 2011</vt:lpstr>
      <vt:lpstr> Wei et. al 2018 </vt:lpstr>
      <vt:lpstr>Tsai et. al 2022 (3)</vt:lpstr>
      <vt:lpstr>Pleyer et. al 2024 (july)</vt:lpstr>
      <vt:lpstr>Fischer et. al 2004 (d6)</vt:lpstr>
      <vt:lpstr>Panagiotis et. al 2024 (plasma)</vt:lpstr>
      <vt:lpstr>Sheet1</vt:lpstr>
      <vt:lpstr>Shaffer et. al 2024 (MS2 60)</vt:lpstr>
      <vt:lpstr>Petterson et. al 2001 (G1)</vt:lpstr>
      <vt:lpstr>Fischer et.al 2002(panel d)</vt:lpstr>
      <vt:lpstr>DiPietro et. al 2023 (t4)</vt:lpstr>
      <vt:lpstr>Parada et. al 2007 (2750m)</vt:lpstr>
      <vt:lpstr>Mathias et. al 1995 (20 C)</vt:lpstr>
      <vt:lpstr>French et. al 2023 (A)</vt:lpstr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Arani</dc:creator>
  <cp:lastModifiedBy>Akash Arani</cp:lastModifiedBy>
  <dcterms:created xsi:type="dcterms:W3CDTF">2025-08-19T04:12:29Z</dcterms:created>
  <dcterms:modified xsi:type="dcterms:W3CDTF">2026-08-19T18:57:54Z</dcterms:modified>
</cp:coreProperties>
</file>